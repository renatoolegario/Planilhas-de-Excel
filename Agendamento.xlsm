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natooaf\Desktop\Projeto Aline\"/>
    </mc:Choice>
  </mc:AlternateContent>
  <xr:revisionPtr revIDLastSave="0" documentId="13_ncr:1_{A2403443-ED72-4DA0-A3FE-2F09B6958715}" xr6:coauthVersionLast="47" xr6:coauthVersionMax="47" xr10:uidLastSave="{00000000-0000-0000-0000-000000000000}"/>
  <bookViews>
    <workbookView xWindow="-120" yWindow="-120" windowWidth="20730" windowHeight="11040" xr2:uid="{CED70BDC-BA34-4D8D-BBC9-5117C9B32A8B}"/>
  </bookViews>
  <sheets>
    <sheet name="Agendamento" sheetId="1" r:id="rId1"/>
    <sheet name="Base de Dad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I7" i="2" s="1"/>
  <c r="H8" i="2"/>
  <c r="H9" i="2"/>
  <c r="I9" i="2" s="1"/>
  <c r="H10" i="2"/>
  <c r="I10" i="2" s="1"/>
  <c r="H11" i="2"/>
  <c r="H12" i="2"/>
  <c r="H13" i="2"/>
  <c r="H14" i="2"/>
  <c r="H15" i="2"/>
  <c r="H16" i="2"/>
  <c r="I16" i="2" s="1"/>
  <c r="H17" i="2"/>
  <c r="I17" i="2" s="1"/>
  <c r="H18" i="2"/>
  <c r="I18" i="2" s="1"/>
  <c r="H19" i="2"/>
  <c r="H20" i="2"/>
  <c r="H21" i="2"/>
  <c r="H22" i="2"/>
  <c r="H23" i="2"/>
  <c r="H24" i="2"/>
  <c r="I24" i="2" s="1"/>
  <c r="H25" i="2"/>
  <c r="I25" i="2" s="1"/>
  <c r="H26" i="2"/>
  <c r="I26" i="2" s="1"/>
  <c r="H27" i="2"/>
  <c r="H28" i="2"/>
  <c r="H29" i="2"/>
  <c r="H30" i="2"/>
  <c r="H31" i="2"/>
  <c r="H32" i="2"/>
  <c r="I32" i="2" s="1"/>
  <c r="H33" i="2"/>
  <c r="I33" i="2" s="1"/>
  <c r="H34" i="2"/>
  <c r="I34" i="2" s="1"/>
  <c r="H35" i="2"/>
  <c r="H36" i="2"/>
  <c r="H37" i="2"/>
  <c r="H38" i="2"/>
  <c r="H39" i="2"/>
  <c r="H40" i="2"/>
  <c r="H41" i="2"/>
  <c r="I41" i="2" s="1"/>
  <c r="H42" i="2"/>
  <c r="I42" i="2" s="1"/>
  <c r="H43" i="2"/>
  <c r="H44" i="2"/>
  <c r="H45" i="2"/>
  <c r="H46" i="2"/>
  <c r="H47" i="2"/>
  <c r="H48" i="2"/>
  <c r="I48" i="2" s="1"/>
  <c r="H49" i="2"/>
  <c r="I49" i="2" s="1"/>
  <c r="H50" i="2"/>
  <c r="I50" i="2" s="1"/>
  <c r="H51" i="2"/>
  <c r="H52" i="2"/>
  <c r="H53" i="2"/>
  <c r="H54" i="2"/>
  <c r="H55" i="2"/>
  <c r="H56" i="2"/>
  <c r="I56" i="2" s="1"/>
  <c r="H57" i="2"/>
  <c r="I57" i="2" s="1"/>
  <c r="H58" i="2"/>
  <c r="I58" i="2" s="1"/>
  <c r="H59" i="2"/>
  <c r="H60" i="2"/>
  <c r="H61" i="2"/>
  <c r="H62" i="2"/>
  <c r="H63" i="2"/>
  <c r="H64" i="2"/>
  <c r="I64" i="2" s="1"/>
  <c r="H65" i="2"/>
  <c r="I65" i="2" s="1"/>
  <c r="H66" i="2"/>
  <c r="I66" i="2" s="1"/>
  <c r="H67" i="2"/>
  <c r="H68" i="2"/>
  <c r="H69" i="2"/>
  <c r="H70" i="2"/>
  <c r="H71" i="2"/>
  <c r="H72" i="2"/>
  <c r="H73" i="2"/>
  <c r="I73" i="2" s="1"/>
  <c r="H74" i="2"/>
  <c r="H75" i="2"/>
  <c r="H76" i="2"/>
  <c r="H77" i="2"/>
  <c r="H78" i="2"/>
  <c r="H79" i="2"/>
  <c r="H80" i="2"/>
  <c r="I80" i="2" s="1"/>
  <c r="H81" i="2"/>
  <c r="I81" i="2" s="1"/>
  <c r="H82" i="2"/>
  <c r="H83" i="2"/>
  <c r="H84" i="2"/>
  <c r="H85" i="2"/>
  <c r="H86" i="2"/>
  <c r="H87" i="2"/>
  <c r="H88" i="2"/>
  <c r="I88" i="2" s="1"/>
  <c r="H89" i="2"/>
  <c r="I89" i="2" s="1"/>
  <c r="H90" i="2"/>
  <c r="H91" i="2"/>
  <c r="H92" i="2"/>
  <c r="H93" i="2"/>
  <c r="H94" i="2"/>
  <c r="H95" i="2"/>
  <c r="H96" i="2"/>
  <c r="I96" i="2" s="1"/>
  <c r="H97" i="2"/>
  <c r="I97" i="2" s="1"/>
  <c r="H98" i="2"/>
  <c r="H99" i="2"/>
  <c r="H100" i="2"/>
  <c r="H101" i="2"/>
  <c r="H102" i="2"/>
  <c r="H103" i="2"/>
  <c r="H104" i="2"/>
  <c r="I104" i="2" s="1"/>
  <c r="H105" i="2"/>
  <c r="I105" i="2" s="1"/>
  <c r="H106" i="2"/>
  <c r="H107" i="2"/>
  <c r="H108" i="2"/>
  <c r="H109" i="2"/>
  <c r="H110" i="2"/>
  <c r="H111" i="2"/>
  <c r="H112" i="2"/>
  <c r="I112" i="2" s="1"/>
  <c r="H113" i="2"/>
  <c r="I113" i="2" s="1"/>
  <c r="H114" i="2"/>
  <c r="H115" i="2"/>
  <c r="H116" i="2"/>
  <c r="H117" i="2"/>
  <c r="H118" i="2"/>
  <c r="H119" i="2"/>
  <c r="H120" i="2"/>
  <c r="I120" i="2" s="1"/>
  <c r="H121" i="2"/>
  <c r="I121" i="2" s="1"/>
  <c r="H122" i="2"/>
  <c r="H123" i="2"/>
  <c r="H124" i="2"/>
  <c r="H125" i="2"/>
  <c r="H126" i="2"/>
  <c r="H127" i="2"/>
  <c r="H128" i="2"/>
  <c r="H129" i="2"/>
  <c r="I129" i="2" s="1"/>
  <c r="H130" i="2"/>
  <c r="H131" i="2"/>
  <c r="H132" i="2"/>
  <c r="H133" i="2"/>
  <c r="H134" i="2"/>
  <c r="H135" i="2"/>
  <c r="H136" i="2"/>
  <c r="H137" i="2"/>
  <c r="I137" i="2" s="1"/>
  <c r="H138" i="2"/>
  <c r="H139" i="2"/>
  <c r="H140" i="2"/>
  <c r="H141" i="2"/>
  <c r="H142" i="2"/>
  <c r="H143" i="2"/>
  <c r="H144" i="2"/>
  <c r="I144" i="2" s="1"/>
  <c r="H145" i="2"/>
  <c r="I145" i="2" s="1"/>
  <c r="H146" i="2"/>
  <c r="H147" i="2"/>
  <c r="H148" i="2"/>
  <c r="H149" i="2"/>
  <c r="H150" i="2"/>
  <c r="H151" i="2"/>
  <c r="H152" i="2"/>
  <c r="I152" i="2" s="1"/>
  <c r="H153" i="2"/>
  <c r="I153" i="2" s="1"/>
  <c r="H154" i="2"/>
  <c r="H155" i="2"/>
  <c r="H156" i="2"/>
  <c r="H157" i="2"/>
  <c r="H158" i="2"/>
  <c r="H159" i="2"/>
  <c r="H160" i="2"/>
  <c r="I160" i="2" s="1"/>
  <c r="H161" i="2"/>
  <c r="I161" i="2" s="1"/>
  <c r="H162" i="2"/>
  <c r="H163" i="2"/>
  <c r="H164" i="2"/>
  <c r="H165" i="2"/>
  <c r="H166" i="2"/>
  <c r="H167" i="2"/>
  <c r="H168" i="2"/>
  <c r="I168" i="2" s="1"/>
  <c r="H169" i="2"/>
  <c r="I169" i="2" s="1"/>
  <c r="H170" i="2"/>
  <c r="H171" i="2"/>
  <c r="H172" i="2"/>
  <c r="H173" i="2"/>
  <c r="H174" i="2"/>
  <c r="H175" i="2"/>
  <c r="H176" i="2"/>
  <c r="I176" i="2" s="1"/>
  <c r="H177" i="2"/>
  <c r="I177" i="2" s="1"/>
  <c r="H178" i="2"/>
  <c r="H179" i="2"/>
  <c r="H180" i="2"/>
  <c r="H181" i="2"/>
  <c r="H182" i="2"/>
  <c r="H183" i="2"/>
  <c r="H184" i="2"/>
  <c r="I184" i="2" s="1"/>
  <c r="H185" i="2"/>
  <c r="I185" i="2" s="1"/>
  <c r="H186" i="2"/>
  <c r="H187" i="2"/>
  <c r="H188" i="2"/>
  <c r="H189" i="2"/>
  <c r="H190" i="2"/>
  <c r="H191" i="2"/>
  <c r="H192" i="2"/>
  <c r="H193" i="2"/>
  <c r="I193" i="2" s="1"/>
  <c r="H194" i="2"/>
  <c r="H195" i="2"/>
  <c r="H196" i="2"/>
  <c r="H197" i="2"/>
  <c r="H198" i="2"/>
  <c r="H199" i="2"/>
  <c r="H200" i="2"/>
  <c r="H201" i="2"/>
  <c r="I201" i="2" s="1"/>
  <c r="H202" i="2"/>
  <c r="H203" i="2"/>
  <c r="H204" i="2"/>
  <c r="H205" i="2"/>
  <c r="H206" i="2"/>
  <c r="H207" i="2"/>
  <c r="H208" i="2"/>
  <c r="I208" i="2" s="1"/>
  <c r="H209" i="2"/>
  <c r="I209" i="2" s="1"/>
  <c r="H210" i="2"/>
  <c r="H211" i="2"/>
  <c r="H212" i="2"/>
  <c r="H213" i="2"/>
  <c r="H214" i="2"/>
  <c r="H215" i="2"/>
  <c r="H216" i="2"/>
  <c r="I216" i="2" s="1"/>
  <c r="H217" i="2"/>
  <c r="I217" i="2" s="1"/>
  <c r="H218" i="2"/>
  <c r="H219" i="2"/>
  <c r="H220" i="2"/>
  <c r="H221" i="2"/>
  <c r="H222" i="2"/>
  <c r="H223" i="2"/>
  <c r="H224" i="2"/>
  <c r="I224" i="2" s="1"/>
  <c r="H225" i="2"/>
  <c r="I225" i="2" s="1"/>
  <c r="H226" i="2"/>
  <c r="H227" i="2"/>
  <c r="H228" i="2"/>
  <c r="H229" i="2"/>
  <c r="H230" i="2"/>
  <c r="H231" i="2"/>
  <c r="H232" i="2"/>
  <c r="I232" i="2" s="1"/>
  <c r="H233" i="2"/>
  <c r="I233" i="2" s="1"/>
  <c r="H234" i="2"/>
  <c r="H235" i="2"/>
  <c r="H236" i="2"/>
  <c r="H237" i="2"/>
  <c r="H238" i="2"/>
  <c r="H239" i="2"/>
  <c r="H240" i="2"/>
  <c r="I240" i="2" s="1"/>
  <c r="H241" i="2"/>
  <c r="I241" i="2" s="1"/>
  <c r="H242" i="2"/>
  <c r="H243" i="2"/>
  <c r="H244" i="2"/>
  <c r="H245" i="2"/>
  <c r="H246" i="2"/>
  <c r="H247" i="2"/>
  <c r="I247" i="2" s="1"/>
  <c r="H248" i="2"/>
  <c r="H249" i="2"/>
  <c r="I249" i="2" s="1"/>
  <c r="H250" i="2"/>
  <c r="H251" i="2"/>
  <c r="H252" i="2"/>
  <c r="H253" i="2"/>
  <c r="H254" i="2"/>
  <c r="H255" i="2"/>
  <c r="H256" i="2"/>
  <c r="H257" i="2"/>
  <c r="I257" i="2" s="1"/>
  <c r="H258" i="2"/>
  <c r="H259" i="2"/>
  <c r="H260" i="2"/>
  <c r="H261" i="2"/>
  <c r="H262" i="2"/>
  <c r="H263" i="2"/>
  <c r="H264" i="2"/>
  <c r="I264" i="2" s="1"/>
  <c r="H265" i="2"/>
  <c r="I265" i="2" s="1"/>
  <c r="H266" i="2"/>
  <c r="H267" i="2"/>
  <c r="H268" i="2"/>
  <c r="H269" i="2"/>
  <c r="H270" i="2"/>
  <c r="H271" i="2"/>
  <c r="H272" i="2"/>
  <c r="I272" i="2" s="1"/>
  <c r="H273" i="2"/>
  <c r="I273" i="2" s="1"/>
  <c r="H274" i="2"/>
  <c r="H275" i="2"/>
  <c r="H276" i="2"/>
  <c r="H277" i="2"/>
  <c r="H278" i="2"/>
  <c r="H279" i="2"/>
  <c r="H280" i="2"/>
  <c r="I280" i="2" s="1"/>
  <c r="H281" i="2"/>
  <c r="I281" i="2" s="1"/>
  <c r="H282" i="2"/>
  <c r="H283" i="2"/>
  <c r="H284" i="2"/>
  <c r="H285" i="2"/>
  <c r="H286" i="2"/>
  <c r="H287" i="2"/>
  <c r="H288" i="2"/>
  <c r="I288" i="2" s="1"/>
  <c r="H289" i="2"/>
  <c r="I289" i="2" s="1"/>
  <c r="H290" i="2"/>
  <c r="H291" i="2"/>
  <c r="H292" i="2"/>
  <c r="H293" i="2"/>
  <c r="H294" i="2"/>
  <c r="H295" i="2"/>
  <c r="H296" i="2"/>
  <c r="I296" i="2" s="1"/>
  <c r="H297" i="2"/>
  <c r="I297" i="2" s="1"/>
  <c r="H298" i="2"/>
  <c r="H299" i="2"/>
  <c r="H300" i="2"/>
  <c r="H301" i="2"/>
  <c r="H302" i="2"/>
  <c r="H303" i="2"/>
  <c r="H304" i="2"/>
  <c r="I304" i="2" s="1"/>
  <c r="H305" i="2"/>
  <c r="I305" i="2" s="1"/>
  <c r="H306" i="2"/>
  <c r="H307" i="2"/>
  <c r="H308" i="2"/>
  <c r="H309" i="2"/>
  <c r="H310" i="2"/>
  <c r="H311" i="2"/>
  <c r="H312" i="2"/>
  <c r="H313" i="2"/>
  <c r="I313" i="2" s="1"/>
  <c r="H314" i="2"/>
  <c r="H315" i="2"/>
  <c r="H316" i="2"/>
  <c r="H317" i="2"/>
  <c r="H318" i="2"/>
  <c r="H319" i="2"/>
  <c r="H320" i="2"/>
  <c r="H321" i="2"/>
  <c r="I321" i="2" s="1"/>
  <c r="H322" i="2"/>
  <c r="H323" i="2"/>
  <c r="H324" i="2"/>
  <c r="H325" i="2"/>
  <c r="H326" i="2"/>
  <c r="H327" i="2"/>
  <c r="H328" i="2"/>
  <c r="I328" i="2" s="1"/>
  <c r="H329" i="2"/>
  <c r="I329" i="2" s="1"/>
  <c r="H330" i="2"/>
  <c r="H331" i="2"/>
  <c r="H332" i="2"/>
  <c r="H333" i="2"/>
  <c r="H334" i="2"/>
  <c r="H335" i="2"/>
  <c r="H336" i="2"/>
  <c r="I336" i="2" s="1"/>
  <c r="H337" i="2"/>
  <c r="I337" i="2" s="1"/>
  <c r="H338" i="2"/>
  <c r="H339" i="2"/>
  <c r="H340" i="2"/>
  <c r="H341" i="2"/>
  <c r="H342" i="2"/>
  <c r="H343" i="2"/>
  <c r="H344" i="2"/>
  <c r="I344" i="2" s="1"/>
  <c r="H345" i="2"/>
  <c r="I345" i="2" s="1"/>
  <c r="H346" i="2"/>
  <c r="H347" i="2"/>
  <c r="H348" i="2"/>
  <c r="H349" i="2"/>
  <c r="H350" i="2"/>
  <c r="H351" i="2"/>
  <c r="H352" i="2"/>
  <c r="I352" i="2" s="1"/>
  <c r="H353" i="2"/>
  <c r="I353" i="2" s="1"/>
  <c r="H354" i="2"/>
  <c r="H355" i="2"/>
  <c r="H356" i="2"/>
  <c r="H357" i="2"/>
  <c r="H358" i="2"/>
  <c r="H359" i="2"/>
  <c r="H360" i="2"/>
  <c r="I360" i="2" s="1"/>
  <c r="H361" i="2"/>
  <c r="I361" i="2" s="1"/>
  <c r="H362" i="2"/>
  <c r="H363" i="2"/>
  <c r="H364" i="2"/>
  <c r="H365" i="2"/>
  <c r="H366" i="2"/>
  <c r="H367" i="2"/>
  <c r="H368" i="2"/>
  <c r="I368" i="2" s="1"/>
  <c r="H369" i="2"/>
  <c r="I369" i="2" s="1"/>
  <c r="H370" i="2"/>
  <c r="H371" i="2"/>
  <c r="H372" i="2"/>
  <c r="H373" i="2"/>
  <c r="H374" i="2"/>
  <c r="H375" i="2"/>
  <c r="H376" i="2"/>
  <c r="H377" i="2"/>
  <c r="I377" i="2" s="1"/>
  <c r="H378" i="2"/>
  <c r="H379" i="2"/>
  <c r="H380" i="2"/>
  <c r="H381" i="2"/>
  <c r="H382" i="2"/>
  <c r="H383" i="2"/>
  <c r="H384" i="2"/>
  <c r="H385" i="2"/>
  <c r="I385" i="2" s="1"/>
  <c r="H386" i="2"/>
  <c r="H387" i="2"/>
  <c r="H388" i="2"/>
  <c r="H389" i="2"/>
  <c r="H390" i="2"/>
  <c r="H391" i="2"/>
  <c r="H392" i="2"/>
  <c r="I392" i="2" s="1"/>
  <c r="H393" i="2"/>
  <c r="I393" i="2" s="1"/>
  <c r="H394" i="2"/>
  <c r="H395" i="2"/>
  <c r="H396" i="2"/>
  <c r="H397" i="2"/>
  <c r="H398" i="2"/>
  <c r="H399" i="2"/>
  <c r="H400" i="2"/>
  <c r="I400" i="2" s="1"/>
  <c r="H401" i="2"/>
  <c r="I401" i="2" s="1"/>
  <c r="H402" i="2"/>
  <c r="H403" i="2"/>
  <c r="H404" i="2"/>
  <c r="H405" i="2"/>
  <c r="H406" i="2"/>
  <c r="H407" i="2"/>
  <c r="H408" i="2"/>
  <c r="I408" i="2" s="1"/>
  <c r="H409" i="2"/>
  <c r="I409" i="2" s="1"/>
  <c r="H410" i="2"/>
  <c r="H411" i="2"/>
  <c r="H412" i="2"/>
  <c r="H413" i="2"/>
  <c r="H414" i="2"/>
  <c r="H415" i="2"/>
  <c r="H416" i="2"/>
  <c r="I416" i="2" s="1"/>
  <c r="H417" i="2"/>
  <c r="I417" i="2" s="1"/>
  <c r="H418" i="2"/>
  <c r="H419" i="2"/>
  <c r="H420" i="2"/>
  <c r="H421" i="2"/>
  <c r="H422" i="2"/>
  <c r="H423" i="2"/>
  <c r="H424" i="2"/>
  <c r="I424" i="2" s="1"/>
  <c r="H425" i="2"/>
  <c r="I425" i="2" s="1"/>
  <c r="H426" i="2"/>
  <c r="H427" i="2"/>
  <c r="H428" i="2"/>
  <c r="H429" i="2"/>
  <c r="H430" i="2"/>
  <c r="H431" i="2"/>
  <c r="H432" i="2"/>
  <c r="I432" i="2" s="1"/>
  <c r="H433" i="2"/>
  <c r="I433" i="2" s="1"/>
  <c r="H434" i="2"/>
  <c r="H435" i="2"/>
  <c r="H436" i="2"/>
  <c r="H437" i="2"/>
  <c r="H438" i="2"/>
  <c r="H439" i="2"/>
  <c r="H440" i="2"/>
  <c r="H441" i="2"/>
  <c r="I441" i="2" s="1"/>
  <c r="H442" i="2"/>
  <c r="H443" i="2"/>
  <c r="H444" i="2"/>
  <c r="H445" i="2"/>
  <c r="H446" i="2"/>
  <c r="H447" i="2"/>
  <c r="H448" i="2"/>
  <c r="H449" i="2"/>
  <c r="I449" i="2" s="1"/>
  <c r="H450" i="2"/>
  <c r="H451" i="2"/>
  <c r="H452" i="2"/>
  <c r="H453" i="2"/>
  <c r="H454" i="2"/>
  <c r="H455" i="2"/>
  <c r="H456" i="2"/>
  <c r="I456" i="2" s="1"/>
  <c r="H457" i="2"/>
  <c r="I457" i="2" s="1"/>
  <c r="H458" i="2"/>
  <c r="H459" i="2"/>
  <c r="H460" i="2"/>
  <c r="H461" i="2"/>
  <c r="H462" i="2"/>
  <c r="H463" i="2"/>
  <c r="H464" i="2"/>
  <c r="I464" i="2" s="1"/>
  <c r="H465" i="2"/>
  <c r="I465" i="2" s="1"/>
  <c r="H466" i="2"/>
  <c r="H467" i="2"/>
  <c r="H468" i="2"/>
  <c r="H469" i="2"/>
  <c r="H470" i="2"/>
  <c r="H471" i="2"/>
  <c r="H472" i="2"/>
  <c r="I472" i="2" s="1"/>
  <c r="H473" i="2"/>
  <c r="I473" i="2" s="1"/>
  <c r="H474" i="2"/>
  <c r="H475" i="2"/>
  <c r="H476" i="2"/>
  <c r="H477" i="2"/>
  <c r="H478" i="2"/>
  <c r="H479" i="2"/>
  <c r="H480" i="2"/>
  <c r="I480" i="2" s="1"/>
  <c r="H481" i="2"/>
  <c r="I481" i="2" s="1"/>
  <c r="H482" i="2"/>
  <c r="H483" i="2"/>
  <c r="H484" i="2"/>
  <c r="H485" i="2"/>
  <c r="H486" i="2"/>
  <c r="H487" i="2"/>
  <c r="H488" i="2"/>
  <c r="I488" i="2" s="1"/>
  <c r="H489" i="2"/>
  <c r="I489" i="2" s="1"/>
  <c r="H490" i="2"/>
  <c r="H491" i="2"/>
  <c r="H492" i="2"/>
  <c r="H493" i="2"/>
  <c r="H494" i="2"/>
  <c r="H495" i="2"/>
  <c r="H496" i="2"/>
  <c r="I496" i="2" s="1"/>
  <c r="H497" i="2"/>
  <c r="I497" i="2" s="1"/>
  <c r="H498" i="2"/>
  <c r="H499" i="2"/>
  <c r="H500" i="2"/>
  <c r="H501" i="2"/>
  <c r="H502" i="2"/>
  <c r="H503" i="2"/>
  <c r="H504" i="2"/>
  <c r="H505" i="2"/>
  <c r="I505" i="2" s="1"/>
  <c r="H506" i="2"/>
  <c r="H507" i="2"/>
  <c r="H508" i="2"/>
  <c r="H509" i="2"/>
  <c r="H510" i="2"/>
  <c r="H511" i="2"/>
  <c r="H512" i="2"/>
  <c r="H513" i="2"/>
  <c r="I513" i="2" s="1"/>
  <c r="H514" i="2"/>
  <c r="H515" i="2"/>
  <c r="H516" i="2"/>
  <c r="H517" i="2"/>
  <c r="H518" i="2"/>
  <c r="H519" i="2"/>
  <c r="H520" i="2"/>
  <c r="I520" i="2" s="1"/>
  <c r="H521" i="2"/>
  <c r="I521" i="2" s="1"/>
  <c r="H522" i="2"/>
  <c r="H523" i="2"/>
  <c r="H524" i="2"/>
  <c r="H525" i="2"/>
  <c r="H526" i="2"/>
  <c r="H527" i="2"/>
  <c r="H528" i="2"/>
  <c r="I528" i="2" s="1"/>
  <c r="H529" i="2"/>
  <c r="I529" i="2" s="1"/>
  <c r="H530" i="2"/>
  <c r="H531" i="2"/>
  <c r="H532" i="2"/>
  <c r="H533" i="2"/>
  <c r="H534" i="2"/>
  <c r="H535" i="2"/>
  <c r="H536" i="2"/>
  <c r="I536" i="2" s="1"/>
  <c r="H537" i="2"/>
  <c r="I537" i="2" s="1"/>
  <c r="H538" i="2"/>
  <c r="H539" i="2"/>
  <c r="H540" i="2"/>
  <c r="H541" i="2"/>
  <c r="H542" i="2"/>
  <c r="H543" i="2"/>
  <c r="H544" i="2"/>
  <c r="I544" i="2" s="1"/>
  <c r="H545" i="2"/>
  <c r="I545" i="2" s="1"/>
  <c r="H546" i="2"/>
  <c r="H547" i="2"/>
  <c r="H548" i="2"/>
  <c r="H549" i="2"/>
  <c r="H550" i="2"/>
  <c r="H551" i="2"/>
  <c r="H552" i="2"/>
  <c r="I552" i="2" s="1"/>
  <c r="H553" i="2"/>
  <c r="I553" i="2" s="1"/>
  <c r="H554" i="2"/>
  <c r="H555" i="2"/>
  <c r="H556" i="2"/>
  <c r="H557" i="2"/>
  <c r="H558" i="2"/>
  <c r="H559" i="2"/>
  <c r="H560" i="2"/>
  <c r="I560" i="2" s="1"/>
  <c r="H561" i="2"/>
  <c r="I561" i="2" s="1"/>
  <c r="H562" i="2"/>
  <c r="H563" i="2"/>
  <c r="H564" i="2"/>
  <c r="H565" i="2"/>
  <c r="H566" i="2"/>
  <c r="H567" i="2"/>
  <c r="H568" i="2"/>
  <c r="H569" i="2"/>
  <c r="I569" i="2" s="1"/>
  <c r="H570" i="2"/>
  <c r="H571" i="2"/>
  <c r="H572" i="2"/>
  <c r="H573" i="2"/>
  <c r="H574" i="2"/>
  <c r="H575" i="2"/>
  <c r="H576" i="2"/>
  <c r="H577" i="2"/>
  <c r="I577" i="2" s="1"/>
  <c r="H578" i="2"/>
  <c r="H579" i="2"/>
  <c r="H580" i="2"/>
  <c r="H581" i="2"/>
  <c r="H582" i="2"/>
  <c r="H583" i="2"/>
  <c r="H584" i="2"/>
  <c r="I584" i="2" s="1"/>
  <c r="H585" i="2"/>
  <c r="I585" i="2" s="1"/>
  <c r="H586" i="2"/>
  <c r="H587" i="2"/>
  <c r="H588" i="2"/>
  <c r="H589" i="2"/>
  <c r="H590" i="2"/>
  <c r="H591" i="2"/>
  <c r="H592" i="2"/>
  <c r="I592" i="2" s="1"/>
  <c r="H593" i="2"/>
  <c r="I593" i="2" s="1"/>
  <c r="H594" i="2"/>
  <c r="H595" i="2"/>
  <c r="H596" i="2"/>
  <c r="H597" i="2"/>
  <c r="H598" i="2"/>
  <c r="H599" i="2"/>
  <c r="H600" i="2"/>
  <c r="I600" i="2" s="1"/>
  <c r="H601" i="2"/>
  <c r="I601" i="2" s="1"/>
  <c r="H602" i="2"/>
  <c r="H603" i="2"/>
  <c r="H604" i="2"/>
  <c r="H605" i="2"/>
  <c r="H606" i="2"/>
  <c r="H607" i="2"/>
  <c r="H608" i="2"/>
  <c r="I608" i="2" s="1"/>
  <c r="H609" i="2"/>
  <c r="I609" i="2" s="1"/>
  <c r="H610" i="2"/>
  <c r="H611" i="2"/>
  <c r="H612" i="2"/>
  <c r="H613" i="2"/>
  <c r="H614" i="2"/>
  <c r="H615" i="2"/>
  <c r="H616" i="2"/>
  <c r="I616" i="2" s="1"/>
  <c r="H617" i="2"/>
  <c r="I617" i="2" s="1"/>
  <c r="H618" i="2"/>
  <c r="H619" i="2"/>
  <c r="H620" i="2"/>
  <c r="H621" i="2"/>
  <c r="H622" i="2"/>
  <c r="H623" i="2"/>
  <c r="H624" i="2"/>
  <c r="I624" i="2" s="1"/>
  <c r="H625" i="2"/>
  <c r="I625" i="2" s="1"/>
  <c r="H626" i="2"/>
  <c r="H627" i="2"/>
  <c r="H628" i="2"/>
  <c r="H629" i="2"/>
  <c r="H630" i="2"/>
  <c r="H631" i="2"/>
  <c r="H632" i="2"/>
  <c r="H633" i="2"/>
  <c r="I633" i="2" s="1"/>
  <c r="H634" i="2"/>
  <c r="H635" i="2"/>
  <c r="H636" i="2"/>
  <c r="H637" i="2"/>
  <c r="H638" i="2"/>
  <c r="H639" i="2"/>
  <c r="H640" i="2"/>
  <c r="H641" i="2"/>
  <c r="I641" i="2" s="1"/>
  <c r="H642" i="2"/>
  <c r="H643" i="2"/>
  <c r="H644" i="2"/>
  <c r="H645" i="2"/>
  <c r="H646" i="2"/>
  <c r="H647" i="2"/>
  <c r="H648" i="2"/>
  <c r="I648" i="2" s="1"/>
  <c r="H649" i="2"/>
  <c r="I649" i="2" s="1"/>
  <c r="H650" i="2"/>
  <c r="H651" i="2"/>
  <c r="H652" i="2"/>
  <c r="H653" i="2"/>
  <c r="H654" i="2"/>
  <c r="H655" i="2"/>
  <c r="H656" i="2"/>
  <c r="I656" i="2" s="1"/>
  <c r="H657" i="2"/>
  <c r="I657" i="2" s="1"/>
  <c r="H658" i="2"/>
  <c r="H659" i="2"/>
  <c r="H660" i="2"/>
  <c r="H661" i="2"/>
  <c r="H662" i="2"/>
  <c r="H663" i="2"/>
  <c r="H664" i="2"/>
  <c r="I664" i="2" s="1"/>
  <c r="H665" i="2"/>
  <c r="I665" i="2" s="1"/>
  <c r="H666" i="2"/>
  <c r="H667" i="2"/>
  <c r="H668" i="2"/>
  <c r="H669" i="2"/>
  <c r="H670" i="2"/>
  <c r="H671" i="2"/>
  <c r="H672" i="2"/>
  <c r="I672" i="2" s="1"/>
  <c r="H673" i="2"/>
  <c r="I673" i="2" s="1"/>
  <c r="H674" i="2"/>
  <c r="H675" i="2"/>
  <c r="H676" i="2"/>
  <c r="H677" i="2"/>
  <c r="H678" i="2"/>
  <c r="H679" i="2"/>
  <c r="H680" i="2"/>
  <c r="I680" i="2" s="1"/>
  <c r="H681" i="2"/>
  <c r="I681" i="2" s="1"/>
  <c r="H682" i="2"/>
  <c r="H683" i="2"/>
  <c r="H684" i="2"/>
  <c r="H685" i="2"/>
  <c r="H686" i="2"/>
  <c r="H687" i="2"/>
  <c r="H688" i="2"/>
  <c r="I688" i="2" s="1"/>
  <c r="H689" i="2"/>
  <c r="I689" i="2" s="1"/>
  <c r="H690" i="2"/>
  <c r="H691" i="2"/>
  <c r="H692" i="2"/>
  <c r="H693" i="2"/>
  <c r="H694" i="2"/>
  <c r="H695" i="2"/>
  <c r="H696" i="2"/>
  <c r="H697" i="2"/>
  <c r="I697" i="2" s="1"/>
  <c r="H698" i="2"/>
  <c r="H699" i="2"/>
  <c r="H700" i="2"/>
  <c r="H701" i="2"/>
  <c r="H702" i="2"/>
  <c r="H703" i="2"/>
  <c r="H704" i="2"/>
  <c r="H705" i="2"/>
  <c r="I705" i="2" s="1"/>
  <c r="H706" i="2"/>
  <c r="H707" i="2"/>
  <c r="H708" i="2"/>
  <c r="H709" i="2"/>
  <c r="H710" i="2"/>
  <c r="H711" i="2"/>
  <c r="H712" i="2"/>
  <c r="I712" i="2" s="1"/>
  <c r="H713" i="2"/>
  <c r="I713" i="2" s="1"/>
  <c r="H714" i="2"/>
  <c r="H715" i="2"/>
  <c r="H716" i="2"/>
  <c r="H717" i="2"/>
  <c r="H718" i="2"/>
  <c r="H719" i="2"/>
  <c r="H720" i="2"/>
  <c r="I720" i="2" s="1"/>
  <c r="H721" i="2"/>
  <c r="I721" i="2" s="1"/>
  <c r="H722" i="2"/>
  <c r="H723" i="2"/>
  <c r="H724" i="2"/>
  <c r="H725" i="2"/>
  <c r="H726" i="2"/>
  <c r="H727" i="2"/>
  <c r="H728" i="2"/>
  <c r="I728" i="2" s="1"/>
  <c r="H729" i="2"/>
  <c r="I729" i="2" s="1"/>
  <c r="H730" i="2"/>
  <c r="H731" i="2"/>
  <c r="H732" i="2"/>
  <c r="H733" i="2"/>
  <c r="H734" i="2"/>
  <c r="H735" i="2"/>
  <c r="H736" i="2"/>
  <c r="I736" i="2" s="1"/>
  <c r="H737" i="2"/>
  <c r="I737" i="2" s="1"/>
  <c r="H738" i="2"/>
  <c r="H739" i="2"/>
  <c r="H740" i="2"/>
  <c r="H741" i="2"/>
  <c r="H742" i="2"/>
  <c r="H743" i="2"/>
  <c r="H744" i="2"/>
  <c r="I744" i="2" s="1"/>
  <c r="H745" i="2"/>
  <c r="I745" i="2" s="1"/>
  <c r="H746" i="2"/>
  <c r="H747" i="2"/>
  <c r="H748" i="2"/>
  <c r="H749" i="2"/>
  <c r="H750" i="2"/>
  <c r="H751" i="2"/>
  <c r="H752" i="2"/>
  <c r="I752" i="2" s="1"/>
  <c r="H753" i="2"/>
  <c r="I753" i="2" s="1"/>
  <c r="H754" i="2"/>
  <c r="H755" i="2"/>
  <c r="H756" i="2"/>
  <c r="H757" i="2"/>
  <c r="H758" i="2"/>
  <c r="H759" i="2"/>
  <c r="H760" i="2"/>
  <c r="H761" i="2"/>
  <c r="I761" i="2" s="1"/>
  <c r="H762" i="2"/>
  <c r="H763" i="2"/>
  <c r="H764" i="2"/>
  <c r="H765" i="2"/>
  <c r="H766" i="2"/>
  <c r="H767" i="2"/>
  <c r="H768" i="2"/>
  <c r="H769" i="2"/>
  <c r="I769" i="2" s="1"/>
  <c r="H770" i="2"/>
  <c r="H771" i="2"/>
  <c r="H772" i="2"/>
  <c r="H773" i="2"/>
  <c r="H774" i="2"/>
  <c r="H775" i="2"/>
  <c r="H776" i="2"/>
  <c r="I776" i="2" s="1"/>
  <c r="H777" i="2"/>
  <c r="I777" i="2" s="1"/>
  <c r="H778" i="2"/>
  <c r="H779" i="2"/>
  <c r="H780" i="2"/>
  <c r="H781" i="2"/>
  <c r="H782" i="2"/>
  <c r="H783" i="2"/>
  <c r="H784" i="2"/>
  <c r="I784" i="2" s="1"/>
  <c r="H785" i="2"/>
  <c r="I785" i="2" s="1"/>
  <c r="H786" i="2"/>
  <c r="H787" i="2"/>
  <c r="H788" i="2"/>
  <c r="H789" i="2"/>
  <c r="H790" i="2"/>
  <c r="H791" i="2"/>
  <c r="H792" i="2"/>
  <c r="I792" i="2" s="1"/>
  <c r="H793" i="2"/>
  <c r="I793" i="2" s="1"/>
  <c r="H794" i="2"/>
  <c r="H795" i="2"/>
  <c r="H796" i="2"/>
  <c r="H797" i="2"/>
  <c r="H798" i="2"/>
  <c r="H799" i="2"/>
  <c r="H800" i="2"/>
  <c r="I800" i="2" s="1"/>
  <c r="H801" i="2"/>
  <c r="I801" i="2" s="1"/>
  <c r="H802" i="2"/>
  <c r="H803" i="2"/>
  <c r="H804" i="2"/>
  <c r="H805" i="2"/>
  <c r="H806" i="2"/>
  <c r="H807" i="2"/>
  <c r="H808" i="2"/>
  <c r="I808" i="2" s="1"/>
  <c r="H809" i="2"/>
  <c r="I809" i="2" s="1"/>
  <c r="H810" i="2"/>
  <c r="H811" i="2"/>
  <c r="H812" i="2"/>
  <c r="H813" i="2"/>
  <c r="H814" i="2"/>
  <c r="H815" i="2"/>
  <c r="H816" i="2"/>
  <c r="I816" i="2" s="1"/>
  <c r="H817" i="2"/>
  <c r="I817" i="2" s="1"/>
  <c r="H818" i="2"/>
  <c r="H819" i="2"/>
  <c r="H820" i="2"/>
  <c r="H821" i="2"/>
  <c r="H822" i="2"/>
  <c r="H823" i="2"/>
  <c r="H824" i="2"/>
  <c r="H825" i="2"/>
  <c r="I825" i="2" s="1"/>
  <c r="H826" i="2"/>
  <c r="H827" i="2"/>
  <c r="H828" i="2"/>
  <c r="H829" i="2"/>
  <c r="H830" i="2"/>
  <c r="H831" i="2"/>
  <c r="H832" i="2"/>
  <c r="H833" i="2"/>
  <c r="I833" i="2" s="1"/>
  <c r="H834" i="2"/>
  <c r="H835" i="2"/>
  <c r="H836" i="2"/>
  <c r="H837" i="2"/>
  <c r="H838" i="2"/>
  <c r="H839" i="2"/>
  <c r="H840" i="2"/>
  <c r="I840" i="2" s="1"/>
  <c r="H841" i="2"/>
  <c r="I841" i="2" s="1"/>
  <c r="H842" i="2"/>
  <c r="H843" i="2"/>
  <c r="H844" i="2"/>
  <c r="H845" i="2"/>
  <c r="H846" i="2"/>
  <c r="H847" i="2"/>
  <c r="H848" i="2"/>
  <c r="I848" i="2" s="1"/>
  <c r="H849" i="2"/>
  <c r="I849" i="2" s="1"/>
  <c r="H850" i="2"/>
  <c r="H851" i="2"/>
  <c r="H852" i="2"/>
  <c r="H853" i="2"/>
  <c r="H854" i="2"/>
  <c r="H855" i="2"/>
  <c r="H856" i="2"/>
  <c r="I856" i="2" s="1"/>
  <c r="H857" i="2"/>
  <c r="I857" i="2" s="1"/>
  <c r="H858" i="2"/>
  <c r="H859" i="2"/>
  <c r="H860" i="2"/>
  <c r="H861" i="2"/>
  <c r="H862" i="2"/>
  <c r="H863" i="2"/>
  <c r="H864" i="2"/>
  <c r="I864" i="2" s="1"/>
  <c r="H865" i="2"/>
  <c r="I865" i="2" s="1"/>
  <c r="H866" i="2"/>
  <c r="H867" i="2"/>
  <c r="H868" i="2"/>
  <c r="H869" i="2"/>
  <c r="H870" i="2"/>
  <c r="H871" i="2"/>
  <c r="H872" i="2"/>
  <c r="I872" i="2" s="1"/>
  <c r="H873" i="2"/>
  <c r="I873" i="2" s="1"/>
  <c r="H874" i="2"/>
  <c r="H875" i="2"/>
  <c r="H876" i="2"/>
  <c r="H877" i="2"/>
  <c r="H878" i="2"/>
  <c r="H879" i="2"/>
  <c r="H880" i="2"/>
  <c r="I880" i="2" s="1"/>
  <c r="H881" i="2"/>
  <c r="I881" i="2" s="1"/>
  <c r="H882" i="2"/>
  <c r="H883" i="2"/>
  <c r="H884" i="2"/>
  <c r="H885" i="2"/>
  <c r="H886" i="2"/>
  <c r="H887" i="2"/>
  <c r="H888" i="2"/>
  <c r="H889" i="2"/>
  <c r="I889" i="2" s="1"/>
  <c r="H890" i="2"/>
  <c r="H891" i="2"/>
  <c r="H892" i="2"/>
  <c r="H893" i="2"/>
  <c r="H894" i="2"/>
  <c r="H895" i="2"/>
  <c r="H896" i="2"/>
  <c r="H897" i="2"/>
  <c r="I897" i="2" s="1"/>
  <c r="H898" i="2"/>
  <c r="H899" i="2"/>
  <c r="H900" i="2"/>
  <c r="H901" i="2"/>
  <c r="H902" i="2"/>
  <c r="H903" i="2"/>
  <c r="H904" i="2"/>
  <c r="I904" i="2" s="1"/>
  <c r="H905" i="2"/>
  <c r="I905" i="2" s="1"/>
  <c r="H906" i="2"/>
  <c r="H907" i="2"/>
  <c r="H908" i="2"/>
  <c r="H909" i="2"/>
  <c r="H910" i="2"/>
  <c r="H911" i="2"/>
  <c r="H912" i="2"/>
  <c r="I912" i="2" s="1"/>
  <c r="H913" i="2"/>
  <c r="I913" i="2" s="1"/>
  <c r="H914" i="2"/>
  <c r="H915" i="2"/>
  <c r="H916" i="2"/>
  <c r="H917" i="2"/>
  <c r="H918" i="2"/>
  <c r="H919" i="2"/>
  <c r="H920" i="2"/>
  <c r="I920" i="2" s="1"/>
  <c r="H921" i="2"/>
  <c r="I921" i="2" s="1"/>
  <c r="H922" i="2"/>
  <c r="H923" i="2"/>
  <c r="H924" i="2"/>
  <c r="H925" i="2"/>
  <c r="H926" i="2"/>
  <c r="H927" i="2"/>
  <c r="H928" i="2"/>
  <c r="I928" i="2" s="1"/>
  <c r="H929" i="2"/>
  <c r="I929" i="2" s="1"/>
  <c r="H930" i="2"/>
  <c r="H931" i="2"/>
  <c r="H932" i="2"/>
  <c r="H933" i="2"/>
  <c r="H934" i="2"/>
  <c r="H935" i="2"/>
  <c r="H936" i="2"/>
  <c r="I936" i="2" s="1"/>
  <c r="H937" i="2"/>
  <c r="I937" i="2" s="1"/>
  <c r="H938" i="2"/>
  <c r="H939" i="2"/>
  <c r="H940" i="2"/>
  <c r="H941" i="2"/>
  <c r="H942" i="2"/>
  <c r="H943" i="2"/>
  <c r="H944" i="2"/>
  <c r="I944" i="2" s="1"/>
  <c r="H945" i="2"/>
  <c r="I945" i="2" s="1"/>
  <c r="H946" i="2"/>
  <c r="H947" i="2"/>
  <c r="H948" i="2"/>
  <c r="H949" i="2"/>
  <c r="H950" i="2"/>
  <c r="H951" i="2"/>
  <c r="H952" i="2"/>
  <c r="H953" i="2"/>
  <c r="I953" i="2" s="1"/>
  <c r="H954" i="2"/>
  <c r="H955" i="2"/>
  <c r="H956" i="2"/>
  <c r="H957" i="2"/>
  <c r="H958" i="2"/>
  <c r="H959" i="2"/>
  <c r="H960" i="2"/>
  <c r="H961" i="2"/>
  <c r="I961" i="2" s="1"/>
  <c r="H962" i="2"/>
  <c r="H963" i="2"/>
  <c r="H964" i="2"/>
  <c r="H965" i="2"/>
  <c r="H966" i="2"/>
  <c r="H967" i="2"/>
  <c r="H968" i="2"/>
  <c r="I968" i="2" s="1"/>
  <c r="H969" i="2"/>
  <c r="I969" i="2" s="1"/>
  <c r="H970" i="2"/>
  <c r="H971" i="2"/>
  <c r="H972" i="2"/>
  <c r="H973" i="2"/>
  <c r="H974" i="2"/>
  <c r="H975" i="2"/>
  <c r="H976" i="2"/>
  <c r="I976" i="2" s="1"/>
  <c r="H977" i="2"/>
  <c r="I977" i="2" s="1"/>
  <c r="H978" i="2"/>
  <c r="H979" i="2"/>
  <c r="H980" i="2"/>
  <c r="H981" i="2"/>
  <c r="H982" i="2"/>
  <c r="H983" i="2"/>
  <c r="H984" i="2"/>
  <c r="I984" i="2" s="1"/>
  <c r="H985" i="2"/>
  <c r="I985" i="2" s="1"/>
  <c r="H986" i="2"/>
  <c r="H987" i="2"/>
  <c r="H988" i="2"/>
  <c r="H989" i="2"/>
  <c r="H990" i="2"/>
  <c r="H991" i="2"/>
  <c r="H992" i="2"/>
  <c r="I992" i="2" s="1"/>
  <c r="H993" i="2"/>
  <c r="I993" i="2" s="1"/>
  <c r="H994" i="2"/>
  <c r="H995" i="2"/>
  <c r="H996" i="2"/>
  <c r="H997" i="2"/>
  <c r="H998" i="2"/>
  <c r="H999" i="2"/>
  <c r="H1000" i="2"/>
  <c r="I1000" i="2" s="1"/>
  <c r="H2" i="2"/>
  <c r="F3" i="2"/>
  <c r="G3" i="2"/>
  <c r="F4" i="2"/>
  <c r="G4" i="2"/>
  <c r="F5" i="2"/>
  <c r="G5" i="2"/>
  <c r="I5" i="2"/>
  <c r="F6" i="2"/>
  <c r="G6" i="2"/>
  <c r="I6" i="2"/>
  <c r="F7" i="2"/>
  <c r="G7" i="2"/>
  <c r="F8" i="2"/>
  <c r="G8" i="2"/>
  <c r="I8" i="2"/>
  <c r="F9" i="2"/>
  <c r="G9" i="2"/>
  <c r="F10" i="2"/>
  <c r="G10" i="2"/>
  <c r="F11" i="2"/>
  <c r="G11" i="2"/>
  <c r="I11" i="2"/>
  <c r="F12" i="2"/>
  <c r="G12" i="2"/>
  <c r="I12" i="2"/>
  <c r="F13" i="2"/>
  <c r="G13" i="2"/>
  <c r="I13" i="2"/>
  <c r="F14" i="2"/>
  <c r="G14" i="2"/>
  <c r="I14" i="2"/>
  <c r="F15" i="2"/>
  <c r="G15" i="2"/>
  <c r="I15" i="2"/>
  <c r="F16" i="2"/>
  <c r="G16" i="2"/>
  <c r="F17" i="2"/>
  <c r="G17" i="2"/>
  <c r="F18" i="2"/>
  <c r="G18" i="2"/>
  <c r="F19" i="2"/>
  <c r="G19" i="2"/>
  <c r="I19" i="2"/>
  <c r="F20" i="2"/>
  <c r="G20" i="2"/>
  <c r="I20" i="2"/>
  <c r="F21" i="2"/>
  <c r="G21" i="2"/>
  <c r="I21" i="2"/>
  <c r="F22" i="2"/>
  <c r="G22" i="2"/>
  <c r="I22" i="2"/>
  <c r="F23" i="2"/>
  <c r="G23" i="2"/>
  <c r="I23" i="2"/>
  <c r="F24" i="2"/>
  <c r="G24" i="2"/>
  <c r="F25" i="2"/>
  <c r="G25" i="2"/>
  <c r="F26" i="2"/>
  <c r="G26" i="2"/>
  <c r="F27" i="2"/>
  <c r="G27" i="2"/>
  <c r="I27" i="2"/>
  <c r="F28" i="2"/>
  <c r="G28" i="2"/>
  <c r="I28" i="2"/>
  <c r="F29" i="2"/>
  <c r="G29" i="2"/>
  <c r="I29" i="2"/>
  <c r="F30" i="2"/>
  <c r="G30" i="2"/>
  <c r="I30" i="2"/>
  <c r="F31" i="2"/>
  <c r="G31" i="2"/>
  <c r="I31" i="2"/>
  <c r="F32" i="2"/>
  <c r="G32" i="2"/>
  <c r="F33" i="2"/>
  <c r="G33" i="2"/>
  <c r="F34" i="2"/>
  <c r="G34" i="2"/>
  <c r="F35" i="2"/>
  <c r="G35" i="2"/>
  <c r="I35" i="2"/>
  <c r="F36" i="2"/>
  <c r="G36" i="2"/>
  <c r="I36" i="2"/>
  <c r="F37" i="2"/>
  <c r="G37" i="2"/>
  <c r="I37" i="2"/>
  <c r="F38" i="2"/>
  <c r="G38" i="2"/>
  <c r="I38" i="2"/>
  <c r="F39" i="2"/>
  <c r="G39" i="2"/>
  <c r="I39" i="2"/>
  <c r="F40" i="2"/>
  <c r="G40" i="2"/>
  <c r="I40" i="2"/>
  <c r="F41" i="2"/>
  <c r="G41" i="2"/>
  <c r="F42" i="2"/>
  <c r="G42" i="2"/>
  <c r="F43" i="2"/>
  <c r="G43" i="2"/>
  <c r="I43" i="2"/>
  <c r="F44" i="2"/>
  <c r="G44" i="2"/>
  <c r="I44" i="2"/>
  <c r="F45" i="2"/>
  <c r="G45" i="2"/>
  <c r="I45" i="2"/>
  <c r="F46" i="2"/>
  <c r="G46" i="2"/>
  <c r="I46" i="2"/>
  <c r="F47" i="2"/>
  <c r="G47" i="2"/>
  <c r="I47" i="2"/>
  <c r="F48" i="2"/>
  <c r="G48" i="2"/>
  <c r="F49" i="2"/>
  <c r="G49" i="2"/>
  <c r="F50" i="2"/>
  <c r="G50" i="2"/>
  <c r="F51" i="2"/>
  <c r="G51" i="2"/>
  <c r="I51" i="2"/>
  <c r="F52" i="2"/>
  <c r="G52" i="2"/>
  <c r="I52" i="2"/>
  <c r="F53" i="2"/>
  <c r="G53" i="2"/>
  <c r="I53" i="2"/>
  <c r="F54" i="2"/>
  <c r="G54" i="2"/>
  <c r="I54" i="2"/>
  <c r="F55" i="2"/>
  <c r="G55" i="2"/>
  <c r="I55" i="2"/>
  <c r="F56" i="2"/>
  <c r="G56" i="2"/>
  <c r="F57" i="2"/>
  <c r="G57" i="2"/>
  <c r="F58" i="2"/>
  <c r="G58" i="2"/>
  <c r="F59" i="2"/>
  <c r="G59" i="2"/>
  <c r="I59" i="2"/>
  <c r="F60" i="2"/>
  <c r="G60" i="2"/>
  <c r="I60" i="2"/>
  <c r="F61" i="2"/>
  <c r="G61" i="2"/>
  <c r="I61" i="2"/>
  <c r="F62" i="2"/>
  <c r="G62" i="2"/>
  <c r="I62" i="2"/>
  <c r="F63" i="2"/>
  <c r="G63" i="2"/>
  <c r="I63" i="2"/>
  <c r="F64" i="2"/>
  <c r="G64" i="2"/>
  <c r="F65" i="2"/>
  <c r="G65" i="2"/>
  <c r="F66" i="2"/>
  <c r="G66" i="2"/>
  <c r="F67" i="2"/>
  <c r="G67" i="2"/>
  <c r="I67" i="2"/>
  <c r="F68" i="2"/>
  <c r="G68" i="2"/>
  <c r="I68" i="2"/>
  <c r="F69" i="2"/>
  <c r="G69" i="2"/>
  <c r="I69" i="2"/>
  <c r="F70" i="2"/>
  <c r="G70" i="2"/>
  <c r="I70" i="2"/>
  <c r="F71" i="2"/>
  <c r="G71" i="2"/>
  <c r="I71" i="2"/>
  <c r="F72" i="2"/>
  <c r="G72" i="2"/>
  <c r="I72" i="2"/>
  <c r="F73" i="2"/>
  <c r="G73" i="2"/>
  <c r="F74" i="2"/>
  <c r="G74" i="2"/>
  <c r="I74" i="2"/>
  <c r="F75" i="2"/>
  <c r="G75" i="2"/>
  <c r="I75" i="2"/>
  <c r="F76" i="2"/>
  <c r="G76" i="2"/>
  <c r="I76" i="2"/>
  <c r="F77" i="2"/>
  <c r="G77" i="2"/>
  <c r="I77" i="2"/>
  <c r="F78" i="2"/>
  <c r="G78" i="2"/>
  <c r="I78" i="2"/>
  <c r="F79" i="2"/>
  <c r="G79" i="2"/>
  <c r="I79" i="2"/>
  <c r="F80" i="2"/>
  <c r="G80" i="2"/>
  <c r="F81" i="2"/>
  <c r="G81" i="2"/>
  <c r="F82" i="2"/>
  <c r="G82" i="2"/>
  <c r="I82" i="2"/>
  <c r="F83" i="2"/>
  <c r="G83" i="2"/>
  <c r="I83" i="2"/>
  <c r="F84" i="2"/>
  <c r="G84" i="2"/>
  <c r="I84" i="2"/>
  <c r="F85" i="2"/>
  <c r="G85" i="2"/>
  <c r="I85" i="2"/>
  <c r="F86" i="2"/>
  <c r="G86" i="2"/>
  <c r="I86" i="2"/>
  <c r="F87" i="2"/>
  <c r="G87" i="2"/>
  <c r="I87" i="2"/>
  <c r="F88" i="2"/>
  <c r="G88" i="2"/>
  <c r="F89" i="2"/>
  <c r="G89" i="2"/>
  <c r="F90" i="2"/>
  <c r="G90" i="2"/>
  <c r="I90" i="2"/>
  <c r="F91" i="2"/>
  <c r="G91" i="2"/>
  <c r="I91" i="2"/>
  <c r="F92" i="2"/>
  <c r="G92" i="2"/>
  <c r="I92" i="2"/>
  <c r="F93" i="2"/>
  <c r="G93" i="2"/>
  <c r="I93" i="2"/>
  <c r="F94" i="2"/>
  <c r="G94" i="2"/>
  <c r="I94" i="2"/>
  <c r="F95" i="2"/>
  <c r="G95" i="2"/>
  <c r="I95" i="2"/>
  <c r="F96" i="2"/>
  <c r="G96" i="2"/>
  <c r="F97" i="2"/>
  <c r="G97" i="2"/>
  <c r="F98" i="2"/>
  <c r="G98" i="2"/>
  <c r="I98" i="2"/>
  <c r="F99" i="2"/>
  <c r="G99" i="2"/>
  <c r="I99" i="2"/>
  <c r="F100" i="2"/>
  <c r="G100" i="2"/>
  <c r="I100" i="2"/>
  <c r="F101" i="2"/>
  <c r="G101" i="2"/>
  <c r="I101" i="2"/>
  <c r="F102" i="2"/>
  <c r="G102" i="2"/>
  <c r="I102" i="2"/>
  <c r="F103" i="2"/>
  <c r="G103" i="2"/>
  <c r="I103" i="2"/>
  <c r="F104" i="2"/>
  <c r="G104" i="2"/>
  <c r="F105" i="2"/>
  <c r="G105" i="2"/>
  <c r="F106" i="2"/>
  <c r="G106" i="2"/>
  <c r="I106" i="2"/>
  <c r="F107" i="2"/>
  <c r="G107" i="2"/>
  <c r="I107" i="2"/>
  <c r="F108" i="2"/>
  <c r="G108" i="2"/>
  <c r="I108" i="2"/>
  <c r="F109" i="2"/>
  <c r="G109" i="2"/>
  <c r="I109" i="2"/>
  <c r="F110" i="2"/>
  <c r="G110" i="2"/>
  <c r="I110" i="2"/>
  <c r="F111" i="2"/>
  <c r="G111" i="2"/>
  <c r="I111" i="2"/>
  <c r="F112" i="2"/>
  <c r="G112" i="2"/>
  <c r="F113" i="2"/>
  <c r="G113" i="2"/>
  <c r="F114" i="2"/>
  <c r="G114" i="2"/>
  <c r="I114" i="2"/>
  <c r="F115" i="2"/>
  <c r="G115" i="2"/>
  <c r="I115" i="2"/>
  <c r="F116" i="2"/>
  <c r="G116" i="2"/>
  <c r="I116" i="2"/>
  <c r="F117" i="2"/>
  <c r="G117" i="2"/>
  <c r="I117" i="2"/>
  <c r="F118" i="2"/>
  <c r="G118" i="2"/>
  <c r="I118" i="2"/>
  <c r="F119" i="2"/>
  <c r="G119" i="2"/>
  <c r="I119" i="2"/>
  <c r="F120" i="2"/>
  <c r="G120" i="2"/>
  <c r="F121" i="2"/>
  <c r="G121" i="2"/>
  <c r="F122" i="2"/>
  <c r="G122" i="2"/>
  <c r="I122" i="2"/>
  <c r="F123" i="2"/>
  <c r="G123" i="2"/>
  <c r="I123" i="2"/>
  <c r="F124" i="2"/>
  <c r="G124" i="2"/>
  <c r="I124" i="2"/>
  <c r="F125" i="2"/>
  <c r="G125" i="2"/>
  <c r="I125" i="2"/>
  <c r="F126" i="2"/>
  <c r="G126" i="2"/>
  <c r="I126" i="2"/>
  <c r="F127" i="2"/>
  <c r="G127" i="2"/>
  <c r="I127" i="2"/>
  <c r="F128" i="2"/>
  <c r="G128" i="2"/>
  <c r="I128" i="2"/>
  <c r="F129" i="2"/>
  <c r="G129" i="2"/>
  <c r="F130" i="2"/>
  <c r="G130" i="2"/>
  <c r="I130" i="2"/>
  <c r="F131" i="2"/>
  <c r="G131" i="2"/>
  <c r="I131" i="2"/>
  <c r="F132" i="2"/>
  <c r="G132" i="2"/>
  <c r="I132" i="2"/>
  <c r="F133" i="2"/>
  <c r="G133" i="2"/>
  <c r="I133" i="2"/>
  <c r="F134" i="2"/>
  <c r="G134" i="2"/>
  <c r="I134" i="2"/>
  <c r="F135" i="2"/>
  <c r="G135" i="2"/>
  <c r="I135" i="2"/>
  <c r="F136" i="2"/>
  <c r="G136" i="2"/>
  <c r="I136" i="2"/>
  <c r="F137" i="2"/>
  <c r="G137" i="2"/>
  <c r="F138" i="2"/>
  <c r="G138" i="2"/>
  <c r="I138" i="2"/>
  <c r="F139" i="2"/>
  <c r="G139" i="2"/>
  <c r="I139" i="2"/>
  <c r="F140" i="2"/>
  <c r="G140" i="2"/>
  <c r="I140" i="2"/>
  <c r="F141" i="2"/>
  <c r="G141" i="2"/>
  <c r="I141" i="2"/>
  <c r="F142" i="2"/>
  <c r="G142" i="2"/>
  <c r="I142" i="2"/>
  <c r="F143" i="2"/>
  <c r="G143" i="2"/>
  <c r="I143" i="2"/>
  <c r="F144" i="2"/>
  <c r="G144" i="2"/>
  <c r="F145" i="2"/>
  <c r="G145" i="2"/>
  <c r="F146" i="2"/>
  <c r="G146" i="2"/>
  <c r="I146" i="2"/>
  <c r="F147" i="2"/>
  <c r="G147" i="2"/>
  <c r="I147" i="2"/>
  <c r="F148" i="2"/>
  <c r="G148" i="2"/>
  <c r="I148" i="2"/>
  <c r="F149" i="2"/>
  <c r="G149" i="2"/>
  <c r="I149" i="2"/>
  <c r="F150" i="2"/>
  <c r="G150" i="2"/>
  <c r="I150" i="2"/>
  <c r="F151" i="2"/>
  <c r="G151" i="2"/>
  <c r="I151" i="2"/>
  <c r="F152" i="2"/>
  <c r="G152" i="2"/>
  <c r="F153" i="2"/>
  <c r="G153" i="2"/>
  <c r="F154" i="2"/>
  <c r="G154" i="2"/>
  <c r="I154" i="2"/>
  <c r="F155" i="2"/>
  <c r="G155" i="2"/>
  <c r="I155" i="2"/>
  <c r="F156" i="2"/>
  <c r="G156" i="2"/>
  <c r="I156" i="2"/>
  <c r="F157" i="2"/>
  <c r="G157" i="2"/>
  <c r="I157" i="2"/>
  <c r="F158" i="2"/>
  <c r="G158" i="2"/>
  <c r="I158" i="2"/>
  <c r="F159" i="2"/>
  <c r="G159" i="2"/>
  <c r="I159" i="2"/>
  <c r="F160" i="2"/>
  <c r="G160" i="2"/>
  <c r="F161" i="2"/>
  <c r="G161" i="2"/>
  <c r="F162" i="2"/>
  <c r="G162" i="2"/>
  <c r="I162" i="2"/>
  <c r="F163" i="2"/>
  <c r="G163" i="2"/>
  <c r="I163" i="2"/>
  <c r="F164" i="2"/>
  <c r="G164" i="2"/>
  <c r="I164" i="2"/>
  <c r="F165" i="2"/>
  <c r="G165" i="2"/>
  <c r="I165" i="2"/>
  <c r="F166" i="2"/>
  <c r="G166" i="2"/>
  <c r="I166" i="2"/>
  <c r="F167" i="2"/>
  <c r="G167" i="2"/>
  <c r="I167" i="2"/>
  <c r="F168" i="2"/>
  <c r="G168" i="2"/>
  <c r="F169" i="2"/>
  <c r="G169" i="2"/>
  <c r="F170" i="2"/>
  <c r="G170" i="2"/>
  <c r="I170" i="2"/>
  <c r="F171" i="2"/>
  <c r="G171" i="2"/>
  <c r="I171" i="2"/>
  <c r="F172" i="2"/>
  <c r="G172" i="2"/>
  <c r="I172" i="2"/>
  <c r="F173" i="2"/>
  <c r="G173" i="2"/>
  <c r="I173" i="2"/>
  <c r="F174" i="2"/>
  <c r="G174" i="2"/>
  <c r="I174" i="2"/>
  <c r="F175" i="2"/>
  <c r="G175" i="2"/>
  <c r="I175" i="2"/>
  <c r="F176" i="2"/>
  <c r="G176" i="2"/>
  <c r="F177" i="2"/>
  <c r="G177" i="2"/>
  <c r="F178" i="2"/>
  <c r="G178" i="2"/>
  <c r="I178" i="2"/>
  <c r="F179" i="2"/>
  <c r="G179" i="2"/>
  <c r="I179" i="2"/>
  <c r="F180" i="2"/>
  <c r="G180" i="2"/>
  <c r="I180" i="2"/>
  <c r="F181" i="2"/>
  <c r="G181" i="2"/>
  <c r="I181" i="2"/>
  <c r="F182" i="2"/>
  <c r="G182" i="2"/>
  <c r="I182" i="2"/>
  <c r="F183" i="2"/>
  <c r="G183" i="2"/>
  <c r="I183" i="2"/>
  <c r="F184" i="2"/>
  <c r="G184" i="2"/>
  <c r="F185" i="2"/>
  <c r="G185" i="2"/>
  <c r="F186" i="2"/>
  <c r="G186" i="2"/>
  <c r="I186" i="2"/>
  <c r="F187" i="2"/>
  <c r="G187" i="2"/>
  <c r="I187" i="2"/>
  <c r="F188" i="2"/>
  <c r="G188" i="2"/>
  <c r="I188" i="2"/>
  <c r="F189" i="2"/>
  <c r="G189" i="2"/>
  <c r="I189" i="2"/>
  <c r="F190" i="2"/>
  <c r="G190" i="2"/>
  <c r="I190" i="2"/>
  <c r="F191" i="2"/>
  <c r="G191" i="2"/>
  <c r="I191" i="2"/>
  <c r="F192" i="2"/>
  <c r="G192" i="2"/>
  <c r="I192" i="2"/>
  <c r="F193" i="2"/>
  <c r="G193" i="2"/>
  <c r="F194" i="2"/>
  <c r="G194" i="2"/>
  <c r="I194" i="2"/>
  <c r="F195" i="2"/>
  <c r="G195" i="2"/>
  <c r="I195" i="2"/>
  <c r="F196" i="2"/>
  <c r="G196" i="2"/>
  <c r="I196" i="2"/>
  <c r="F197" i="2"/>
  <c r="G197" i="2"/>
  <c r="I197" i="2"/>
  <c r="F198" i="2"/>
  <c r="G198" i="2"/>
  <c r="I198" i="2"/>
  <c r="F199" i="2"/>
  <c r="G199" i="2"/>
  <c r="I199" i="2"/>
  <c r="F200" i="2"/>
  <c r="G200" i="2"/>
  <c r="I200" i="2"/>
  <c r="F201" i="2"/>
  <c r="G201" i="2"/>
  <c r="F202" i="2"/>
  <c r="G202" i="2"/>
  <c r="I202" i="2"/>
  <c r="F203" i="2"/>
  <c r="G203" i="2"/>
  <c r="I203" i="2"/>
  <c r="F204" i="2"/>
  <c r="G204" i="2"/>
  <c r="I204" i="2"/>
  <c r="F205" i="2"/>
  <c r="G205" i="2"/>
  <c r="I205" i="2"/>
  <c r="F206" i="2"/>
  <c r="G206" i="2"/>
  <c r="I206" i="2"/>
  <c r="F207" i="2"/>
  <c r="G207" i="2"/>
  <c r="I207" i="2"/>
  <c r="F208" i="2"/>
  <c r="G208" i="2"/>
  <c r="F209" i="2"/>
  <c r="G209" i="2"/>
  <c r="F210" i="2"/>
  <c r="G210" i="2"/>
  <c r="I210" i="2"/>
  <c r="F211" i="2"/>
  <c r="G211" i="2"/>
  <c r="I211" i="2"/>
  <c r="F212" i="2"/>
  <c r="G212" i="2"/>
  <c r="I212" i="2"/>
  <c r="F213" i="2"/>
  <c r="G213" i="2"/>
  <c r="I213" i="2"/>
  <c r="F214" i="2"/>
  <c r="G214" i="2"/>
  <c r="I214" i="2"/>
  <c r="F215" i="2"/>
  <c r="G215" i="2"/>
  <c r="I215" i="2"/>
  <c r="F216" i="2"/>
  <c r="G216" i="2"/>
  <c r="F217" i="2"/>
  <c r="G217" i="2"/>
  <c r="F218" i="2"/>
  <c r="G218" i="2"/>
  <c r="I218" i="2"/>
  <c r="F219" i="2"/>
  <c r="G219" i="2"/>
  <c r="I219" i="2"/>
  <c r="F220" i="2"/>
  <c r="G220" i="2"/>
  <c r="I220" i="2"/>
  <c r="F221" i="2"/>
  <c r="G221" i="2"/>
  <c r="I221" i="2"/>
  <c r="F222" i="2"/>
  <c r="G222" i="2"/>
  <c r="I222" i="2"/>
  <c r="F223" i="2"/>
  <c r="G223" i="2"/>
  <c r="I223" i="2"/>
  <c r="F224" i="2"/>
  <c r="G224" i="2"/>
  <c r="F225" i="2"/>
  <c r="G225" i="2"/>
  <c r="F226" i="2"/>
  <c r="G226" i="2"/>
  <c r="I226" i="2"/>
  <c r="F227" i="2"/>
  <c r="G227" i="2"/>
  <c r="I227" i="2"/>
  <c r="F228" i="2"/>
  <c r="G228" i="2"/>
  <c r="I228" i="2"/>
  <c r="F229" i="2"/>
  <c r="G229" i="2"/>
  <c r="I229" i="2"/>
  <c r="F230" i="2"/>
  <c r="G230" i="2"/>
  <c r="I230" i="2"/>
  <c r="F231" i="2"/>
  <c r="G231" i="2"/>
  <c r="I231" i="2"/>
  <c r="F232" i="2"/>
  <c r="G232" i="2"/>
  <c r="F233" i="2"/>
  <c r="G233" i="2"/>
  <c r="F234" i="2"/>
  <c r="G234" i="2"/>
  <c r="I234" i="2"/>
  <c r="F235" i="2"/>
  <c r="G235" i="2"/>
  <c r="I235" i="2"/>
  <c r="F236" i="2"/>
  <c r="G236" i="2"/>
  <c r="I236" i="2"/>
  <c r="F237" i="2"/>
  <c r="G237" i="2"/>
  <c r="I237" i="2"/>
  <c r="F238" i="2"/>
  <c r="G238" i="2"/>
  <c r="I238" i="2"/>
  <c r="F239" i="2"/>
  <c r="G239" i="2"/>
  <c r="I239" i="2"/>
  <c r="F240" i="2"/>
  <c r="G240" i="2"/>
  <c r="F241" i="2"/>
  <c r="G241" i="2"/>
  <c r="F242" i="2"/>
  <c r="G242" i="2"/>
  <c r="I242" i="2"/>
  <c r="F243" i="2"/>
  <c r="G243" i="2"/>
  <c r="I243" i="2"/>
  <c r="F244" i="2"/>
  <c r="G244" i="2"/>
  <c r="I244" i="2"/>
  <c r="F245" i="2"/>
  <c r="G245" i="2"/>
  <c r="I245" i="2"/>
  <c r="F246" i="2"/>
  <c r="G246" i="2"/>
  <c r="I246" i="2"/>
  <c r="F247" i="2"/>
  <c r="G247" i="2"/>
  <c r="F248" i="2"/>
  <c r="G248" i="2"/>
  <c r="I248" i="2"/>
  <c r="F249" i="2"/>
  <c r="G249" i="2"/>
  <c r="F250" i="2"/>
  <c r="G250" i="2"/>
  <c r="I250" i="2"/>
  <c r="F251" i="2"/>
  <c r="G251" i="2"/>
  <c r="I251" i="2"/>
  <c r="F252" i="2"/>
  <c r="G252" i="2"/>
  <c r="I252" i="2"/>
  <c r="F253" i="2"/>
  <c r="G253" i="2"/>
  <c r="I253" i="2"/>
  <c r="F254" i="2"/>
  <c r="G254" i="2"/>
  <c r="I254" i="2"/>
  <c r="F255" i="2"/>
  <c r="G255" i="2"/>
  <c r="I255" i="2"/>
  <c r="F256" i="2"/>
  <c r="G256" i="2"/>
  <c r="I256" i="2"/>
  <c r="F257" i="2"/>
  <c r="G257" i="2"/>
  <c r="F258" i="2"/>
  <c r="G258" i="2"/>
  <c r="I258" i="2"/>
  <c r="F259" i="2"/>
  <c r="G259" i="2"/>
  <c r="I259" i="2"/>
  <c r="F260" i="2"/>
  <c r="G260" i="2"/>
  <c r="I260" i="2"/>
  <c r="F261" i="2"/>
  <c r="G261" i="2"/>
  <c r="I261" i="2"/>
  <c r="F262" i="2"/>
  <c r="G262" i="2"/>
  <c r="I262" i="2"/>
  <c r="F263" i="2"/>
  <c r="G263" i="2"/>
  <c r="I263" i="2"/>
  <c r="F264" i="2"/>
  <c r="G264" i="2"/>
  <c r="F265" i="2"/>
  <c r="G265" i="2"/>
  <c r="F266" i="2"/>
  <c r="G266" i="2"/>
  <c r="I266" i="2"/>
  <c r="F267" i="2"/>
  <c r="G267" i="2"/>
  <c r="I267" i="2"/>
  <c r="F268" i="2"/>
  <c r="G268" i="2"/>
  <c r="I268" i="2"/>
  <c r="F269" i="2"/>
  <c r="G269" i="2"/>
  <c r="I269" i="2"/>
  <c r="F270" i="2"/>
  <c r="G270" i="2"/>
  <c r="I270" i="2"/>
  <c r="F271" i="2"/>
  <c r="G271" i="2"/>
  <c r="I271" i="2"/>
  <c r="F272" i="2"/>
  <c r="G272" i="2"/>
  <c r="F273" i="2"/>
  <c r="G273" i="2"/>
  <c r="F274" i="2"/>
  <c r="G274" i="2"/>
  <c r="I274" i="2"/>
  <c r="F275" i="2"/>
  <c r="G275" i="2"/>
  <c r="I275" i="2"/>
  <c r="F276" i="2"/>
  <c r="G276" i="2"/>
  <c r="I276" i="2"/>
  <c r="F277" i="2"/>
  <c r="G277" i="2"/>
  <c r="I277" i="2"/>
  <c r="F278" i="2"/>
  <c r="G278" i="2"/>
  <c r="I278" i="2"/>
  <c r="F279" i="2"/>
  <c r="G279" i="2"/>
  <c r="I279" i="2"/>
  <c r="F280" i="2"/>
  <c r="G280" i="2"/>
  <c r="F281" i="2"/>
  <c r="G281" i="2"/>
  <c r="F282" i="2"/>
  <c r="G282" i="2"/>
  <c r="I282" i="2"/>
  <c r="F283" i="2"/>
  <c r="G283" i="2"/>
  <c r="I283" i="2"/>
  <c r="F284" i="2"/>
  <c r="G284" i="2"/>
  <c r="I284" i="2"/>
  <c r="F285" i="2"/>
  <c r="G285" i="2"/>
  <c r="I285" i="2"/>
  <c r="F286" i="2"/>
  <c r="G286" i="2"/>
  <c r="I286" i="2"/>
  <c r="F287" i="2"/>
  <c r="G287" i="2"/>
  <c r="I287" i="2"/>
  <c r="F288" i="2"/>
  <c r="G288" i="2"/>
  <c r="F289" i="2"/>
  <c r="G289" i="2"/>
  <c r="F290" i="2"/>
  <c r="G290" i="2"/>
  <c r="I290" i="2"/>
  <c r="F291" i="2"/>
  <c r="G291" i="2"/>
  <c r="I291" i="2"/>
  <c r="F292" i="2"/>
  <c r="G292" i="2"/>
  <c r="I292" i="2"/>
  <c r="F293" i="2"/>
  <c r="G293" i="2"/>
  <c r="I293" i="2"/>
  <c r="F294" i="2"/>
  <c r="G294" i="2"/>
  <c r="I294" i="2"/>
  <c r="F295" i="2"/>
  <c r="G295" i="2"/>
  <c r="I295" i="2"/>
  <c r="F296" i="2"/>
  <c r="G296" i="2"/>
  <c r="F297" i="2"/>
  <c r="G297" i="2"/>
  <c r="F298" i="2"/>
  <c r="G298" i="2"/>
  <c r="I298" i="2"/>
  <c r="F299" i="2"/>
  <c r="G299" i="2"/>
  <c r="I299" i="2"/>
  <c r="F300" i="2"/>
  <c r="G300" i="2"/>
  <c r="I300" i="2"/>
  <c r="F301" i="2"/>
  <c r="G301" i="2"/>
  <c r="I301" i="2"/>
  <c r="F302" i="2"/>
  <c r="G302" i="2"/>
  <c r="I302" i="2"/>
  <c r="F303" i="2"/>
  <c r="G303" i="2"/>
  <c r="I303" i="2"/>
  <c r="F304" i="2"/>
  <c r="G304" i="2"/>
  <c r="F305" i="2"/>
  <c r="G305" i="2"/>
  <c r="F306" i="2"/>
  <c r="G306" i="2"/>
  <c r="I306" i="2"/>
  <c r="F307" i="2"/>
  <c r="G307" i="2"/>
  <c r="I307" i="2"/>
  <c r="F308" i="2"/>
  <c r="G308" i="2"/>
  <c r="I308" i="2"/>
  <c r="F309" i="2"/>
  <c r="G309" i="2"/>
  <c r="I309" i="2"/>
  <c r="F310" i="2"/>
  <c r="G310" i="2"/>
  <c r="I310" i="2"/>
  <c r="F311" i="2"/>
  <c r="G311" i="2"/>
  <c r="I311" i="2"/>
  <c r="F312" i="2"/>
  <c r="G312" i="2"/>
  <c r="I312" i="2"/>
  <c r="F313" i="2"/>
  <c r="G313" i="2"/>
  <c r="F314" i="2"/>
  <c r="G314" i="2"/>
  <c r="I314" i="2"/>
  <c r="F315" i="2"/>
  <c r="G315" i="2"/>
  <c r="I315" i="2"/>
  <c r="F316" i="2"/>
  <c r="G316" i="2"/>
  <c r="I316" i="2"/>
  <c r="F317" i="2"/>
  <c r="G317" i="2"/>
  <c r="I317" i="2"/>
  <c r="F318" i="2"/>
  <c r="G318" i="2"/>
  <c r="I318" i="2"/>
  <c r="F319" i="2"/>
  <c r="G319" i="2"/>
  <c r="I319" i="2"/>
  <c r="F320" i="2"/>
  <c r="G320" i="2"/>
  <c r="I320" i="2"/>
  <c r="F321" i="2"/>
  <c r="G321" i="2"/>
  <c r="F322" i="2"/>
  <c r="G322" i="2"/>
  <c r="I322" i="2"/>
  <c r="F323" i="2"/>
  <c r="G323" i="2"/>
  <c r="I323" i="2"/>
  <c r="F324" i="2"/>
  <c r="G324" i="2"/>
  <c r="I324" i="2"/>
  <c r="F325" i="2"/>
  <c r="G325" i="2"/>
  <c r="I325" i="2"/>
  <c r="F326" i="2"/>
  <c r="G326" i="2"/>
  <c r="I326" i="2"/>
  <c r="F327" i="2"/>
  <c r="G327" i="2"/>
  <c r="I327" i="2"/>
  <c r="F328" i="2"/>
  <c r="G328" i="2"/>
  <c r="F329" i="2"/>
  <c r="G329" i="2"/>
  <c r="F330" i="2"/>
  <c r="G330" i="2"/>
  <c r="I330" i="2"/>
  <c r="F331" i="2"/>
  <c r="G331" i="2"/>
  <c r="I331" i="2"/>
  <c r="F332" i="2"/>
  <c r="G332" i="2"/>
  <c r="I332" i="2"/>
  <c r="F333" i="2"/>
  <c r="G333" i="2"/>
  <c r="I333" i="2"/>
  <c r="F334" i="2"/>
  <c r="G334" i="2"/>
  <c r="I334" i="2"/>
  <c r="F335" i="2"/>
  <c r="G335" i="2"/>
  <c r="I335" i="2"/>
  <c r="F336" i="2"/>
  <c r="G336" i="2"/>
  <c r="F337" i="2"/>
  <c r="G337" i="2"/>
  <c r="F338" i="2"/>
  <c r="G338" i="2"/>
  <c r="I338" i="2"/>
  <c r="F339" i="2"/>
  <c r="G339" i="2"/>
  <c r="I339" i="2"/>
  <c r="F340" i="2"/>
  <c r="G340" i="2"/>
  <c r="I340" i="2"/>
  <c r="F341" i="2"/>
  <c r="G341" i="2"/>
  <c r="I341" i="2"/>
  <c r="F342" i="2"/>
  <c r="G342" i="2"/>
  <c r="I342" i="2"/>
  <c r="F343" i="2"/>
  <c r="G343" i="2"/>
  <c r="I343" i="2"/>
  <c r="F344" i="2"/>
  <c r="G344" i="2"/>
  <c r="F345" i="2"/>
  <c r="G345" i="2"/>
  <c r="F346" i="2"/>
  <c r="G346" i="2"/>
  <c r="I346" i="2"/>
  <c r="F347" i="2"/>
  <c r="G347" i="2"/>
  <c r="I347" i="2"/>
  <c r="F348" i="2"/>
  <c r="G348" i="2"/>
  <c r="I348" i="2"/>
  <c r="F349" i="2"/>
  <c r="G349" i="2"/>
  <c r="I349" i="2"/>
  <c r="F350" i="2"/>
  <c r="G350" i="2"/>
  <c r="I350" i="2"/>
  <c r="F351" i="2"/>
  <c r="G351" i="2"/>
  <c r="I351" i="2"/>
  <c r="F352" i="2"/>
  <c r="G352" i="2"/>
  <c r="F353" i="2"/>
  <c r="G353" i="2"/>
  <c r="F354" i="2"/>
  <c r="G354" i="2"/>
  <c r="I354" i="2"/>
  <c r="F355" i="2"/>
  <c r="G355" i="2"/>
  <c r="I355" i="2"/>
  <c r="F356" i="2"/>
  <c r="G356" i="2"/>
  <c r="I356" i="2"/>
  <c r="F357" i="2"/>
  <c r="G357" i="2"/>
  <c r="I357" i="2"/>
  <c r="F358" i="2"/>
  <c r="G358" i="2"/>
  <c r="I358" i="2"/>
  <c r="F359" i="2"/>
  <c r="G359" i="2"/>
  <c r="I359" i="2"/>
  <c r="F360" i="2"/>
  <c r="G360" i="2"/>
  <c r="F361" i="2"/>
  <c r="G361" i="2"/>
  <c r="F362" i="2"/>
  <c r="G362" i="2"/>
  <c r="I362" i="2"/>
  <c r="F363" i="2"/>
  <c r="G363" i="2"/>
  <c r="I363" i="2"/>
  <c r="F364" i="2"/>
  <c r="G364" i="2"/>
  <c r="I364" i="2"/>
  <c r="F365" i="2"/>
  <c r="G365" i="2"/>
  <c r="I365" i="2"/>
  <c r="F366" i="2"/>
  <c r="G366" i="2"/>
  <c r="I366" i="2"/>
  <c r="F367" i="2"/>
  <c r="G367" i="2"/>
  <c r="I367" i="2"/>
  <c r="F368" i="2"/>
  <c r="G368" i="2"/>
  <c r="F369" i="2"/>
  <c r="G369" i="2"/>
  <c r="F370" i="2"/>
  <c r="G370" i="2"/>
  <c r="I370" i="2"/>
  <c r="F371" i="2"/>
  <c r="G371" i="2"/>
  <c r="I371" i="2"/>
  <c r="F372" i="2"/>
  <c r="G372" i="2"/>
  <c r="I372" i="2"/>
  <c r="F373" i="2"/>
  <c r="G373" i="2"/>
  <c r="I373" i="2"/>
  <c r="F374" i="2"/>
  <c r="G374" i="2"/>
  <c r="I374" i="2"/>
  <c r="F375" i="2"/>
  <c r="G375" i="2"/>
  <c r="I375" i="2"/>
  <c r="F376" i="2"/>
  <c r="G376" i="2"/>
  <c r="I376" i="2"/>
  <c r="F377" i="2"/>
  <c r="G377" i="2"/>
  <c r="F378" i="2"/>
  <c r="G378" i="2"/>
  <c r="I378" i="2"/>
  <c r="F379" i="2"/>
  <c r="G379" i="2"/>
  <c r="I379" i="2"/>
  <c r="F380" i="2"/>
  <c r="G380" i="2"/>
  <c r="I380" i="2"/>
  <c r="F381" i="2"/>
  <c r="G381" i="2"/>
  <c r="I381" i="2"/>
  <c r="F382" i="2"/>
  <c r="G382" i="2"/>
  <c r="I382" i="2"/>
  <c r="F383" i="2"/>
  <c r="G383" i="2"/>
  <c r="I383" i="2"/>
  <c r="F384" i="2"/>
  <c r="G384" i="2"/>
  <c r="I384" i="2"/>
  <c r="F385" i="2"/>
  <c r="G385" i="2"/>
  <c r="F386" i="2"/>
  <c r="G386" i="2"/>
  <c r="I386" i="2"/>
  <c r="F387" i="2"/>
  <c r="G387" i="2"/>
  <c r="I387" i="2"/>
  <c r="F388" i="2"/>
  <c r="G388" i="2"/>
  <c r="I388" i="2"/>
  <c r="F389" i="2"/>
  <c r="G389" i="2"/>
  <c r="I389" i="2"/>
  <c r="F390" i="2"/>
  <c r="G390" i="2"/>
  <c r="I390" i="2"/>
  <c r="F391" i="2"/>
  <c r="G391" i="2"/>
  <c r="I391" i="2"/>
  <c r="F392" i="2"/>
  <c r="G392" i="2"/>
  <c r="F393" i="2"/>
  <c r="G393" i="2"/>
  <c r="F394" i="2"/>
  <c r="G394" i="2"/>
  <c r="I394" i="2"/>
  <c r="F395" i="2"/>
  <c r="G395" i="2"/>
  <c r="I395" i="2"/>
  <c r="F396" i="2"/>
  <c r="G396" i="2"/>
  <c r="I396" i="2"/>
  <c r="F397" i="2"/>
  <c r="G397" i="2"/>
  <c r="I397" i="2"/>
  <c r="F398" i="2"/>
  <c r="G398" i="2"/>
  <c r="I398" i="2"/>
  <c r="F399" i="2"/>
  <c r="G399" i="2"/>
  <c r="I399" i="2"/>
  <c r="F400" i="2"/>
  <c r="G400" i="2"/>
  <c r="F401" i="2"/>
  <c r="G401" i="2"/>
  <c r="F402" i="2"/>
  <c r="G402" i="2"/>
  <c r="I402" i="2"/>
  <c r="F403" i="2"/>
  <c r="G403" i="2"/>
  <c r="I403" i="2"/>
  <c r="F404" i="2"/>
  <c r="G404" i="2"/>
  <c r="I404" i="2"/>
  <c r="F405" i="2"/>
  <c r="G405" i="2"/>
  <c r="I405" i="2"/>
  <c r="F406" i="2"/>
  <c r="G406" i="2"/>
  <c r="I406" i="2"/>
  <c r="F407" i="2"/>
  <c r="G407" i="2"/>
  <c r="I407" i="2"/>
  <c r="F408" i="2"/>
  <c r="G408" i="2"/>
  <c r="F409" i="2"/>
  <c r="G409" i="2"/>
  <c r="F410" i="2"/>
  <c r="G410" i="2"/>
  <c r="I410" i="2"/>
  <c r="F411" i="2"/>
  <c r="G411" i="2"/>
  <c r="I411" i="2"/>
  <c r="F412" i="2"/>
  <c r="G412" i="2"/>
  <c r="I412" i="2"/>
  <c r="F413" i="2"/>
  <c r="G413" i="2"/>
  <c r="I413" i="2"/>
  <c r="F414" i="2"/>
  <c r="G414" i="2"/>
  <c r="I414" i="2"/>
  <c r="F415" i="2"/>
  <c r="G415" i="2"/>
  <c r="I415" i="2"/>
  <c r="F416" i="2"/>
  <c r="G416" i="2"/>
  <c r="F417" i="2"/>
  <c r="G417" i="2"/>
  <c r="F418" i="2"/>
  <c r="G418" i="2"/>
  <c r="I418" i="2"/>
  <c r="F419" i="2"/>
  <c r="G419" i="2"/>
  <c r="I419" i="2"/>
  <c r="F420" i="2"/>
  <c r="G420" i="2"/>
  <c r="I420" i="2"/>
  <c r="F421" i="2"/>
  <c r="G421" i="2"/>
  <c r="I421" i="2"/>
  <c r="F422" i="2"/>
  <c r="G422" i="2"/>
  <c r="I422" i="2"/>
  <c r="F423" i="2"/>
  <c r="G423" i="2"/>
  <c r="I423" i="2"/>
  <c r="F424" i="2"/>
  <c r="G424" i="2"/>
  <c r="F425" i="2"/>
  <c r="G425" i="2"/>
  <c r="F426" i="2"/>
  <c r="G426" i="2"/>
  <c r="I426" i="2"/>
  <c r="F427" i="2"/>
  <c r="G427" i="2"/>
  <c r="I427" i="2"/>
  <c r="F428" i="2"/>
  <c r="G428" i="2"/>
  <c r="I428" i="2"/>
  <c r="F429" i="2"/>
  <c r="G429" i="2"/>
  <c r="I429" i="2"/>
  <c r="F430" i="2"/>
  <c r="G430" i="2"/>
  <c r="I430" i="2"/>
  <c r="F431" i="2"/>
  <c r="G431" i="2"/>
  <c r="I431" i="2"/>
  <c r="F432" i="2"/>
  <c r="G432" i="2"/>
  <c r="F433" i="2"/>
  <c r="G433" i="2"/>
  <c r="F434" i="2"/>
  <c r="G434" i="2"/>
  <c r="I434" i="2"/>
  <c r="F435" i="2"/>
  <c r="G435" i="2"/>
  <c r="I435" i="2"/>
  <c r="F436" i="2"/>
  <c r="G436" i="2"/>
  <c r="I436" i="2"/>
  <c r="F437" i="2"/>
  <c r="G437" i="2"/>
  <c r="I437" i="2"/>
  <c r="F438" i="2"/>
  <c r="G438" i="2"/>
  <c r="I438" i="2"/>
  <c r="F439" i="2"/>
  <c r="G439" i="2"/>
  <c r="I439" i="2"/>
  <c r="F440" i="2"/>
  <c r="G440" i="2"/>
  <c r="I440" i="2"/>
  <c r="F441" i="2"/>
  <c r="G441" i="2"/>
  <c r="F442" i="2"/>
  <c r="G442" i="2"/>
  <c r="I442" i="2"/>
  <c r="F443" i="2"/>
  <c r="G443" i="2"/>
  <c r="I443" i="2"/>
  <c r="F444" i="2"/>
  <c r="G444" i="2"/>
  <c r="I444" i="2"/>
  <c r="F445" i="2"/>
  <c r="G445" i="2"/>
  <c r="I445" i="2"/>
  <c r="F446" i="2"/>
  <c r="G446" i="2"/>
  <c r="I446" i="2"/>
  <c r="F447" i="2"/>
  <c r="G447" i="2"/>
  <c r="I447" i="2"/>
  <c r="F448" i="2"/>
  <c r="G448" i="2"/>
  <c r="I448" i="2"/>
  <c r="F449" i="2"/>
  <c r="G449" i="2"/>
  <c r="F450" i="2"/>
  <c r="G450" i="2"/>
  <c r="I450" i="2"/>
  <c r="F451" i="2"/>
  <c r="G451" i="2"/>
  <c r="I451" i="2"/>
  <c r="F452" i="2"/>
  <c r="G452" i="2"/>
  <c r="I452" i="2"/>
  <c r="F453" i="2"/>
  <c r="G453" i="2"/>
  <c r="I453" i="2"/>
  <c r="F454" i="2"/>
  <c r="G454" i="2"/>
  <c r="I454" i="2"/>
  <c r="F455" i="2"/>
  <c r="G455" i="2"/>
  <c r="I455" i="2"/>
  <c r="F456" i="2"/>
  <c r="G456" i="2"/>
  <c r="F457" i="2"/>
  <c r="G457" i="2"/>
  <c r="F458" i="2"/>
  <c r="G458" i="2"/>
  <c r="I458" i="2"/>
  <c r="F459" i="2"/>
  <c r="G459" i="2"/>
  <c r="I459" i="2"/>
  <c r="F460" i="2"/>
  <c r="G460" i="2"/>
  <c r="I460" i="2"/>
  <c r="F461" i="2"/>
  <c r="G461" i="2"/>
  <c r="I461" i="2"/>
  <c r="F462" i="2"/>
  <c r="G462" i="2"/>
  <c r="I462" i="2"/>
  <c r="F463" i="2"/>
  <c r="G463" i="2"/>
  <c r="I463" i="2"/>
  <c r="F464" i="2"/>
  <c r="G464" i="2"/>
  <c r="F465" i="2"/>
  <c r="G465" i="2"/>
  <c r="F466" i="2"/>
  <c r="G466" i="2"/>
  <c r="I466" i="2"/>
  <c r="F467" i="2"/>
  <c r="G467" i="2"/>
  <c r="I467" i="2"/>
  <c r="F468" i="2"/>
  <c r="G468" i="2"/>
  <c r="I468" i="2"/>
  <c r="F469" i="2"/>
  <c r="G469" i="2"/>
  <c r="I469" i="2"/>
  <c r="F470" i="2"/>
  <c r="G470" i="2"/>
  <c r="I470" i="2"/>
  <c r="F471" i="2"/>
  <c r="G471" i="2"/>
  <c r="I471" i="2"/>
  <c r="F472" i="2"/>
  <c r="G472" i="2"/>
  <c r="F473" i="2"/>
  <c r="G473" i="2"/>
  <c r="F474" i="2"/>
  <c r="G474" i="2"/>
  <c r="I474" i="2"/>
  <c r="F475" i="2"/>
  <c r="G475" i="2"/>
  <c r="I475" i="2"/>
  <c r="F476" i="2"/>
  <c r="G476" i="2"/>
  <c r="I476" i="2"/>
  <c r="F477" i="2"/>
  <c r="G477" i="2"/>
  <c r="I477" i="2"/>
  <c r="F478" i="2"/>
  <c r="G478" i="2"/>
  <c r="I478" i="2"/>
  <c r="F479" i="2"/>
  <c r="G479" i="2"/>
  <c r="I479" i="2"/>
  <c r="F480" i="2"/>
  <c r="G480" i="2"/>
  <c r="F481" i="2"/>
  <c r="G481" i="2"/>
  <c r="F482" i="2"/>
  <c r="G482" i="2"/>
  <c r="I482" i="2"/>
  <c r="F483" i="2"/>
  <c r="G483" i="2"/>
  <c r="I483" i="2"/>
  <c r="F484" i="2"/>
  <c r="G484" i="2"/>
  <c r="I484" i="2"/>
  <c r="F485" i="2"/>
  <c r="G485" i="2"/>
  <c r="I485" i="2"/>
  <c r="F486" i="2"/>
  <c r="G486" i="2"/>
  <c r="I486" i="2"/>
  <c r="F487" i="2"/>
  <c r="G487" i="2"/>
  <c r="I487" i="2"/>
  <c r="F488" i="2"/>
  <c r="G488" i="2"/>
  <c r="F489" i="2"/>
  <c r="G489" i="2"/>
  <c r="F490" i="2"/>
  <c r="G490" i="2"/>
  <c r="I490" i="2"/>
  <c r="F491" i="2"/>
  <c r="G491" i="2"/>
  <c r="I491" i="2"/>
  <c r="F492" i="2"/>
  <c r="G492" i="2"/>
  <c r="I492" i="2"/>
  <c r="F493" i="2"/>
  <c r="G493" i="2"/>
  <c r="I493" i="2"/>
  <c r="F494" i="2"/>
  <c r="G494" i="2"/>
  <c r="I494" i="2"/>
  <c r="F495" i="2"/>
  <c r="G495" i="2"/>
  <c r="I495" i="2"/>
  <c r="F496" i="2"/>
  <c r="G496" i="2"/>
  <c r="F497" i="2"/>
  <c r="G497" i="2"/>
  <c r="F498" i="2"/>
  <c r="G498" i="2"/>
  <c r="I498" i="2"/>
  <c r="F499" i="2"/>
  <c r="G499" i="2"/>
  <c r="I499" i="2"/>
  <c r="F500" i="2"/>
  <c r="G500" i="2"/>
  <c r="I500" i="2"/>
  <c r="F501" i="2"/>
  <c r="G501" i="2"/>
  <c r="I501" i="2"/>
  <c r="F502" i="2"/>
  <c r="G502" i="2"/>
  <c r="I502" i="2"/>
  <c r="F503" i="2"/>
  <c r="G503" i="2"/>
  <c r="I503" i="2"/>
  <c r="F504" i="2"/>
  <c r="G504" i="2"/>
  <c r="I504" i="2"/>
  <c r="F505" i="2"/>
  <c r="G505" i="2"/>
  <c r="F506" i="2"/>
  <c r="G506" i="2"/>
  <c r="I506" i="2"/>
  <c r="F507" i="2"/>
  <c r="G507" i="2"/>
  <c r="I507" i="2"/>
  <c r="F508" i="2"/>
  <c r="G508" i="2"/>
  <c r="I508" i="2"/>
  <c r="F509" i="2"/>
  <c r="G509" i="2"/>
  <c r="I509" i="2"/>
  <c r="F510" i="2"/>
  <c r="G510" i="2"/>
  <c r="I510" i="2"/>
  <c r="F511" i="2"/>
  <c r="G511" i="2"/>
  <c r="I511" i="2"/>
  <c r="F512" i="2"/>
  <c r="G512" i="2"/>
  <c r="I512" i="2"/>
  <c r="F513" i="2"/>
  <c r="G513" i="2"/>
  <c r="F514" i="2"/>
  <c r="G514" i="2"/>
  <c r="I514" i="2"/>
  <c r="F515" i="2"/>
  <c r="G515" i="2"/>
  <c r="I515" i="2"/>
  <c r="F516" i="2"/>
  <c r="G516" i="2"/>
  <c r="I516" i="2"/>
  <c r="F517" i="2"/>
  <c r="G517" i="2"/>
  <c r="I517" i="2"/>
  <c r="F518" i="2"/>
  <c r="G518" i="2"/>
  <c r="I518" i="2"/>
  <c r="F519" i="2"/>
  <c r="G519" i="2"/>
  <c r="I519" i="2"/>
  <c r="F520" i="2"/>
  <c r="G520" i="2"/>
  <c r="F521" i="2"/>
  <c r="G521" i="2"/>
  <c r="F522" i="2"/>
  <c r="G522" i="2"/>
  <c r="I522" i="2"/>
  <c r="F523" i="2"/>
  <c r="G523" i="2"/>
  <c r="I523" i="2"/>
  <c r="F524" i="2"/>
  <c r="G524" i="2"/>
  <c r="I524" i="2"/>
  <c r="F525" i="2"/>
  <c r="G525" i="2"/>
  <c r="I525" i="2"/>
  <c r="F526" i="2"/>
  <c r="G526" i="2"/>
  <c r="I526" i="2"/>
  <c r="F527" i="2"/>
  <c r="G527" i="2"/>
  <c r="I527" i="2"/>
  <c r="F528" i="2"/>
  <c r="G528" i="2"/>
  <c r="F529" i="2"/>
  <c r="G529" i="2"/>
  <c r="F530" i="2"/>
  <c r="G530" i="2"/>
  <c r="I530" i="2"/>
  <c r="F531" i="2"/>
  <c r="G531" i="2"/>
  <c r="I531" i="2"/>
  <c r="F532" i="2"/>
  <c r="G532" i="2"/>
  <c r="I532" i="2"/>
  <c r="F533" i="2"/>
  <c r="G533" i="2"/>
  <c r="I533" i="2"/>
  <c r="F534" i="2"/>
  <c r="G534" i="2"/>
  <c r="I534" i="2"/>
  <c r="F535" i="2"/>
  <c r="G535" i="2"/>
  <c r="I535" i="2"/>
  <c r="F536" i="2"/>
  <c r="G536" i="2"/>
  <c r="F537" i="2"/>
  <c r="G537" i="2"/>
  <c r="F538" i="2"/>
  <c r="G538" i="2"/>
  <c r="I538" i="2"/>
  <c r="F539" i="2"/>
  <c r="G539" i="2"/>
  <c r="I539" i="2"/>
  <c r="F540" i="2"/>
  <c r="G540" i="2"/>
  <c r="I540" i="2"/>
  <c r="F541" i="2"/>
  <c r="G541" i="2"/>
  <c r="I541" i="2"/>
  <c r="F542" i="2"/>
  <c r="G542" i="2"/>
  <c r="I542" i="2"/>
  <c r="F543" i="2"/>
  <c r="G543" i="2"/>
  <c r="I543" i="2"/>
  <c r="F544" i="2"/>
  <c r="G544" i="2"/>
  <c r="F545" i="2"/>
  <c r="G545" i="2"/>
  <c r="F546" i="2"/>
  <c r="G546" i="2"/>
  <c r="I546" i="2"/>
  <c r="F547" i="2"/>
  <c r="G547" i="2"/>
  <c r="I547" i="2"/>
  <c r="F548" i="2"/>
  <c r="G548" i="2"/>
  <c r="I548" i="2"/>
  <c r="F549" i="2"/>
  <c r="G549" i="2"/>
  <c r="I549" i="2"/>
  <c r="F550" i="2"/>
  <c r="G550" i="2"/>
  <c r="I550" i="2"/>
  <c r="F551" i="2"/>
  <c r="G551" i="2"/>
  <c r="I551" i="2"/>
  <c r="F552" i="2"/>
  <c r="G552" i="2"/>
  <c r="F553" i="2"/>
  <c r="G553" i="2"/>
  <c r="F554" i="2"/>
  <c r="G554" i="2"/>
  <c r="I554" i="2"/>
  <c r="F555" i="2"/>
  <c r="G555" i="2"/>
  <c r="I555" i="2"/>
  <c r="F556" i="2"/>
  <c r="G556" i="2"/>
  <c r="I556" i="2"/>
  <c r="F557" i="2"/>
  <c r="G557" i="2"/>
  <c r="I557" i="2"/>
  <c r="F558" i="2"/>
  <c r="G558" i="2"/>
  <c r="I558" i="2"/>
  <c r="F559" i="2"/>
  <c r="G559" i="2"/>
  <c r="I559" i="2"/>
  <c r="F560" i="2"/>
  <c r="G560" i="2"/>
  <c r="F561" i="2"/>
  <c r="G561" i="2"/>
  <c r="F562" i="2"/>
  <c r="G562" i="2"/>
  <c r="I562" i="2"/>
  <c r="F563" i="2"/>
  <c r="G563" i="2"/>
  <c r="I563" i="2"/>
  <c r="F564" i="2"/>
  <c r="G564" i="2"/>
  <c r="I564" i="2"/>
  <c r="F565" i="2"/>
  <c r="G565" i="2"/>
  <c r="I565" i="2"/>
  <c r="F566" i="2"/>
  <c r="G566" i="2"/>
  <c r="I566" i="2"/>
  <c r="F567" i="2"/>
  <c r="G567" i="2"/>
  <c r="I567" i="2"/>
  <c r="F568" i="2"/>
  <c r="G568" i="2"/>
  <c r="I568" i="2"/>
  <c r="F569" i="2"/>
  <c r="G569" i="2"/>
  <c r="F570" i="2"/>
  <c r="G570" i="2"/>
  <c r="I570" i="2"/>
  <c r="F571" i="2"/>
  <c r="G571" i="2"/>
  <c r="I571" i="2"/>
  <c r="F572" i="2"/>
  <c r="G572" i="2"/>
  <c r="I572" i="2"/>
  <c r="F573" i="2"/>
  <c r="G573" i="2"/>
  <c r="I573" i="2"/>
  <c r="F574" i="2"/>
  <c r="G574" i="2"/>
  <c r="I574" i="2"/>
  <c r="F575" i="2"/>
  <c r="G575" i="2"/>
  <c r="I575" i="2"/>
  <c r="F576" i="2"/>
  <c r="G576" i="2"/>
  <c r="I576" i="2"/>
  <c r="F577" i="2"/>
  <c r="G577" i="2"/>
  <c r="F578" i="2"/>
  <c r="G578" i="2"/>
  <c r="I578" i="2"/>
  <c r="F579" i="2"/>
  <c r="G579" i="2"/>
  <c r="I579" i="2"/>
  <c r="F580" i="2"/>
  <c r="G580" i="2"/>
  <c r="I580" i="2"/>
  <c r="F581" i="2"/>
  <c r="G581" i="2"/>
  <c r="I581" i="2"/>
  <c r="F582" i="2"/>
  <c r="G582" i="2"/>
  <c r="I582" i="2"/>
  <c r="F583" i="2"/>
  <c r="G583" i="2"/>
  <c r="I583" i="2"/>
  <c r="F584" i="2"/>
  <c r="G584" i="2"/>
  <c r="F585" i="2"/>
  <c r="G585" i="2"/>
  <c r="F586" i="2"/>
  <c r="G586" i="2"/>
  <c r="I586" i="2"/>
  <c r="F587" i="2"/>
  <c r="G587" i="2"/>
  <c r="I587" i="2"/>
  <c r="F588" i="2"/>
  <c r="G588" i="2"/>
  <c r="I588" i="2"/>
  <c r="F589" i="2"/>
  <c r="G589" i="2"/>
  <c r="I589" i="2"/>
  <c r="F590" i="2"/>
  <c r="G590" i="2"/>
  <c r="I590" i="2"/>
  <c r="F591" i="2"/>
  <c r="G591" i="2"/>
  <c r="I591" i="2"/>
  <c r="F592" i="2"/>
  <c r="G592" i="2"/>
  <c r="F593" i="2"/>
  <c r="G593" i="2"/>
  <c r="F594" i="2"/>
  <c r="G594" i="2"/>
  <c r="I594" i="2"/>
  <c r="F595" i="2"/>
  <c r="G595" i="2"/>
  <c r="I595" i="2"/>
  <c r="F596" i="2"/>
  <c r="G596" i="2"/>
  <c r="I596" i="2"/>
  <c r="F597" i="2"/>
  <c r="G597" i="2"/>
  <c r="I597" i="2"/>
  <c r="F598" i="2"/>
  <c r="G598" i="2"/>
  <c r="I598" i="2"/>
  <c r="F599" i="2"/>
  <c r="G599" i="2"/>
  <c r="I599" i="2"/>
  <c r="F600" i="2"/>
  <c r="G600" i="2"/>
  <c r="F601" i="2"/>
  <c r="G601" i="2"/>
  <c r="F602" i="2"/>
  <c r="G602" i="2"/>
  <c r="I602" i="2"/>
  <c r="F603" i="2"/>
  <c r="G603" i="2"/>
  <c r="I603" i="2"/>
  <c r="F604" i="2"/>
  <c r="G604" i="2"/>
  <c r="I604" i="2"/>
  <c r="F605" i="2"/>
  <c r="G605" i="2"/>
  <c r="I605" i="2"/>
  <c r="F606" i="2"/>
  <c r="G606" i="2"/>
  <c r="I606" i="2"/>
  <c r="F607" i="2"/>
  <c r="G607" i="2"/>
  <c r="I607" i="2"/>
  <c r="F608" i="2"/>
  <c r="G608" i="2"/>
  <c r="F609" i="2"/>
  <c r="G609" i="2"/>
  <c r="F610" i="2"/>
  <c r="G610" i="2"/>
  <c r="I610" i="2"/>
  <c r="F611" i="2"/>
  <c r="G611" i="2"/>
  <c r="I611" i="2"/>
  <c r="F612" i="2"/>
  <c r="G612" i="2"/>
  <c r="I612" i="2"/>
  <c r="F613" i="2"/>
  <c r="G613" i="2"/>
  <c r="I613" i="2"/>
  <c r="F614" i="2"/>
  <c r="G614" i="2"/>
  <c r="I614" i="2"/>
  <c r="F615" i="2"/>
  <c r="G615" i="2"/>
  <c r="I615" i="2"/>
  <c r="F616" i="2"/>
  <c r="G616" i="2"/>
  <c r="F617" i="2"/>
  <c r="G617" i="2"/>
  <c r="F618" i="2"/>
  <c r="G618" i="2"/>
  <c r="I618" i="2"/>
  <c r="F619" i="2"/>
  <c r="G619" i="2"/>
  <c r="I619" i="2"/>
  <c r="F620" i="2"/>
  <c r="G620" i="2"/>
  <c r="I620" i="2"/>
  <c r="F621" i="2"/>
  <c r="G621" i="2"/>
  <c r="I621" i="2"/>
  <c r="F622" i="2"/>
  <c r="G622" i="2"/>
  <c r="I622" i="2"/>
  <c r="F623" i="2"/>
  <c r="G623" i="2"/>
  <c r="I623" i="2"/>
  <c r="F624" i="2"/>
  <c r="G624" i="2"/>
  <c r="F625" i="2"/>
  <c r="G625" i="2"/>
  <c r="F626" i="2"/>
  <c r="G626" i="2"/>
  <c r="I626" i="2"/>
  <c r="F627" i="2"/>
  <c r="G627" i="2"/>
  <c r="I627" i="2"/>
  <c r="F628" i="2"/>
  <c r="G628" i="2"/>
  <c r="I628" i="2"/>
  <c r="F629" i="2"/>
  <c r="G629" i="2"/>
  <c r="I629" i="2"/>
  <c r="F630" i="2"/>
  <c r="G630" i="2"/>
  <c r="I630" i="2"/>
  <c r="F631" i="2"/>
  <c r="G631" i="2"/>
  <c r="I631" i="2"/>
  <c r="F632" i="2"/>
  <c r="G632" i="2"/>
  <c r="I632" i="2"/>
  <c r="F633" i="2"/>
  <c r="G633" i="2"/>
  <c r="F634" i="2"/>
  <c r="G634" i="2"/>
  <c r="I634" i="2"/>
  <c r="F635" i="2"/>
  <c r="G635" i="2"/>
  <c r="I635" i="2"/>
  <c r="F636" i="2"/>
  <c r="G636" i="2"/>
  <c r="I636" i="2"/>
  <c r="F637" i="2"/>
  <c r="G637" i="2"/>
  <c r="I637" i="2"/>
  <c r="F638" i="2"/>
  <c r="G638" i="2"/>
  <c r="I638" i="2"/>
  <c r="F639" i="2"/>
  <c r="G639" i="2"/>
  <c r="I639" i="2"/>
  <c r="F640" i="2"/>
  <c r="G640" i="2"/>
  <c r="I640" i="2"/>
  <c r="F641" i="2"/>
  <c r="G641" i="2"/>
  <c r="F642" i="2"/>
  <c r="G642" i="2"/>
  <c r="I642" i="2"/>
  <c r="F643" i="2"/>
  <c r="G643" i="2"/>
  <c r="I643" i="2"/>
  <c r="F644" i="2"/>
  <c r="G644" i="2"/>
  <c r="I644" i="2"/>
  <c r="F645" i="2"/>
  <c r="G645" i="2"/>
  <c r="I645" i="2"/>
  <c r="F646" i="2"/>
  <c r="G646" i="2"/>
  <c r="I646" i="2"/>
  <c r="F647" i="2"/>
  <c r="G647" i="2"/>
  <c r="I647" i="2"/>
  <c r="F648" i="2"/>
  <c r="G648" i="2"/>
  <c r="F649" i="2"/>
  <c r="G649" i="2"/>
  <c r="F650" i="2"/>
  <c r="G650" i="2"/>
  <c r="I650" i="2"/>
  <c r="F651" i="2"/>
  <c r="G651" i="2"/>
  <c r="I651" i="2"/>
  <c r="F652" i="2"/>
  <c r="G652" i="2"/>
  <c r="I652" i="2"/>
  <c r="F653" i="2"/>
  <c r="G653" i="2"/>
  <c r="I653" i="2"/>
  <c r="F654" i="2"/>
  <c r="G654" i="2"/>
  <c r="I654" i="2"/>
  <c r="F655" i="2"/>
  <c r="G655" i="2"/>
  <c r="I655" i="2"/>
  <c r="F656" i="2"/>
  <c r="G656" i="2"/>
  <c r="F657" i="2"/>
  <c r="G657" i="2"/>
  <c r="F658" i="2"/>
  <c r="G658" i="2"/>
  <c r="I658" i="2"/>
  <c r="F659" i="2"/>
  <c r="G659" i="2"/>
  <c r="I659" i="2"/>
  <c r="F660" i="2"/>
  <c r="G660" i="2"/>
  <c r="I660" i="2"/>
  <c r="F661" i="2"/>
  <c r="G661" i="2"/>
  <c r="I661" i="2"/>
  <c r="F662" i="2"/>
  <c r="G662" i="2"/>
  <c r="I662" i="2"/>
  <c r="F663" i="2"/>
  <c r="G663" i="2"/>
  <c r="I663" i="2"/>
  <c r="F664" i="2"/>
  <c r="G664" i="2"/>
  <c r="F665" i="2"/>
  <c r="G665" i="2"/>
  <c r="F666" i="2"/>
  <c r="G666" i="2"/>
  <c r="I666" i="2"/>
  <c r="F667" i="2"/>
  <c r="G667" i="2"/>
  <c r="I667" i="2"/>
  <c r="F668" i="2"/>
  <c r="G668" i="2"/>
  <c r="I668" i="2"/>
  <c r="F669" i="2"/>
  <c r="G669" i="2"/>
  <c r="I669" i="2"/>
  <c r="F670" i="2"/>
  <c r="G670" i="2"/>
  <c r="I670" i="2"/>
  <c r="F671" i="2"/>
  <c r="G671" i="2"/>
  <c r="I671" i="2"/>
  <c r="F672" i="2"/>
  <c r="G672" i="2"/>
  <c r="F673" i="2"/>
  <c r="G673" i="2"/>
  <c r="F674" i="2"/>
  <c r="G674" i="2"/>
  <c r="I674" i="2"/>
  <c r="F675" i="2"/>
  <c r="G675" i="2"/>
  <c r="I675" i="2"/>
  <c r="F676" i="2"/>
  <c r="G676" i="2"/>
  <c r="I676" i="2"/>
  <c r="F677" i="2"/>
  <c r="G677" i="2"/>
  <c r="I677" i="2"/>
  <c r="F678" i="2"/>
  <c r="G678" i="2"/>
  <c r="I678" i="2"/>
  <c r="F679" i="2"/>
  <c r="G679" i="2"/>
  <c r="I679" i="2"/>
  <c r="F680" i="2"/>
  <c r="G680" i="2"/>
  <c r="F681" i="2"/>
  <c r="G681" i="2"/>
  <c r="F682" i="2"/>
  <c r="G682" i="2"/>
  <c r="I682" i="2"/>
  <c r="F683" i="2"/>
  <c r="G683" i="2"/>
  <c r="I683" i="2"/>
  <c r="F684" i="2"/>
  <c r="G684" i="2"/>
  <c r="I684" i="2"/>
  <c r="F685" i="2"/>
  <c r="G685" i="2"/>
  <c r="I685" i="2"/>
  <c r="F686" i="2"/>
  <c r="G686" i="2"/>
  <c r="I686" i="2"/>
  <c r="F687" i="2"/>
  <c r="G687" i="2"/>
  <c r="I687" i="2"/>
  <c r="F688" i="2"/>
  <c r="G688" i="2"/>
  <c r="F689" i="2"/>
  <c r="G689" i="2"/>
  <c r="F690" i="2"/>
  <c r="G690" i="2"/>
  <c r="I690" i="2"/>
  <c r="F691" i="2"/>
  <c r="G691" i="2"/>
  <c r="I691" i="2"/>
  <c r="F692" i="2"/>
  <c r="G692" i="2"/>
  <c r="I692" i="2"/>
  <c r="F693" i="2"/>
  <c r="G693" i="2"/>
  <c r="I693" i="2"/>
  <c r="F694" i="2"/>
  <c r="G694" i="2"/>
  <c r="I694" i="2"/>
  <c r="F695" i="2"/>
  <c r="G695" i="2"/>
  <c r="I695" i="2"/>
  <c r="F696" i="2"/>
  <c r="G696" i="2"/>
  <c r="I696" i="2"/>
  <c r="F697" i="2"/>
  <c r="G697" i="2"/>
  <c r="F698" i="2"/>
  <c r="G698" i="2"/>
  <c r="I698" i="2"/>
  <c r="F699" i="2"/>
  <c r="G699" i="2"/>
  <c r="I699" i="2"/>
  <c r="F700" i="2"/>
  <c r="G700" i="2"/>
  <c r="I700" i="2"/>
  <c r="F701" i="2"/>
  <c r="G701" i="2"/>
  <c r="I701" i="2"/>
  <c r="F702" i="2"/>
  <c r="G702" i="2"/>
  <c r="I702" i="2"/>
  <c r="F703" i="2"/>
  <c r="G703" i="2"/>
  <c r="I703" i="2"/>
  <c r="F704" i="2"/>
  <c r="G704" i="2"/>
  <c r="I704" i="2"/>
  <c r="F705" i="2"/>
  <c r="G705" i="2"/>
  <c r="F706" i="2"/>
  <c r="G706" i="2"/>
  <c r="I706" i="2"/>
  <c r="F707" i="2"/>
  <c r="G707" i="2"/>
  <c r="I707" i="2"/>
  <c r="F708" i="2"/>
  <c r="G708" i="2"/>
  <c r="I708" i="2"/>
  <c r="F709" i="2"/>
  <c r="G709" i="2"/>
  <c r="I709" i="2"/>
  <c r="F710" i="2"/>
  <c r="G710" i="2"/>
  <c r="I710" i="2"/>
  <c r="F711" i="2"/>
  <c r="G711" i="2"/>
  <c r="I711" i="2"/>
  <c r="F712" i="2"/>
  <c r="G712" i="2"/>
  <c r="F713" i="2"/>
  <c r="G713" i="2"/>
  <c r="F714" i="2"/>
  <c r="G714" i="2"/>
  <c r="I714" i="2"/>
  <c r="F715" i="2"/>
  <c r="G715" i="2"/>
  <c r="I715" i="2"/>
  <c r="F716" i="2"/>
  <c r="G716" i="2"/>
  <c r="I716" i="2"/>
  <c r="F717" i="2"/>
  <c r="G717" i="2"/>
  <c r="I717" i="2"/>
  <c r="F718" i="2"/>
  <c r="G718" i="2"/>
  <c r="I718" i="2"/>
  <c r="F719" i="2"/>
  <c r="G719" i="2"/>
  <c r="I719" i="2"/>
  <c r="F720" i="2"/>
  <c r="G720" i="2"/>
  <c r="F721" i="2"/>
  <c r="G721" i="2"/>
  <c r="F722" i="2"/>
  <c r="G722" i="2"/>
  <c r="I722" i="2"/>
  <c r="F723" i="2"/>
  <c r="G723" i="2"/>
  <c r="I723" i="2"/>
  <c r="F724" i="2"/>
  <c r="G724" i="2"/>
  <c r="I724" i="2"/>
  <c r="F725" i="2"/>
  <c r="G725" i="2"/>
  <c r="I725" i="2"/>
  <c r="F726" i="2"/>
  <c r="G726" i="2"/>
  <c r="I726" i="2"/>
  <c r="F727" i="2"/>
  <c r="G727" i="2"/>
  <c r="I727" i="2"/>
  <c r="F728" i="2"/>
  <c r="G728" i="2"/>
  <c r="F729" i="2"/>
  <c r="G729" i="2"/>
  <c r="F730" i="2"/>
  <c r="G730" i="2"/>
  <c r="I730" i="2"/>
  <c r="F731" i="2"/>
  <c r="G731" i="2"/>
  <c r="I731" i="2"/>
  <c r="F732" i="2"/>
  <c r="G732" i="2"/>
  <c r="I732" i="2"/>
  <c r="F733" i="2"/>
  <c r="G733" i="2"/>
  <c r="I733" i="2"/>
  <c r="F734" i="2"/>
  <c r="G734" i="2"/>
  <c r="I734" i="2"/>
  <c r="F735" i="2"/>
  <c r="G735" i="2"/>
  <c r="I735" i="2"/>
  <c r="F736" i="2"/>
  <c r="G736" i="2"/>
  <c r="F737" i="2"/>
  <c r="G737" i="2"/>
  <c r="F738" i="2"/>
  <c r="G738" i="2"/>
  <c r="I738" i="2"/>
  <c r="F739" i="2"/>
  <c r="G739" i="2"/>
  <c r="I739" i="2"/>
  <c r="F740" i="2"/>
  <c r="G740" i="2"/>
  <c r="I740" i="2"/>
  <c r="F741" i="2"/>
  <c r="G741" i="2"/>
  <c r="I741" i="2"/>
  <c r="F742" i="2"/>
  <c r="G742" i="2"/>
  <c r="I742" i="2"/>
  <c r="F743" i="2"/>
  <c r="G743" i="2"/>
  <c r="I743" i="2"/>
  <c r="F744" i="2"/>
  <c r="G744" i="2"/>
  <c r="F745" i="2"/>
  <c r="G745" i="2"/>
  <c r="F746" i="2"/>
  <c r="G746" i="2"/>
  <c r="I746" i="2"/>
  <c r="F747" i="2"/>
  <c r="G747" i="2"/>
  <c r="I747" i="2"/>
  <c r="F748" i="2"/>
  <c r="G748" i="2"/>
  <c r="I748" i="2"/>
  <c r="F749" i="2"/>
  <c r="G749" i="2"/>
  <c r="I749" i="2"/>
  <c r="F750" i="2"/>
  <c r="G750" i="2"/>
  <c r="I750" i="2"/>
  <c r="F751" i="2"/>
  <c r="G751" i="2"/>
  <c r="I751" i="2"/>
  <c r="F752" i="2"/>
  <c r="G752" i="2"/>
  <c r="F753" i="2"/>
  <c r="G753" i="2"/>
  <c r="F754" i="2"/>
  <c r="G754" i="2"/>
  <c r="I754" i="2"/>
  <c r="F755" i="2"/>
  <c r="G755" i="2"/>
  <c r="I755" i="2"/>
  <c r="F756" i="2"/>
  <c r="G756" i="2"/>
  <c r="I756" i="2"/>
  <c r="F757" i="2"/>
  <c r="G757" i="2"/>
  <c r="I757" i="2"/>
  <c r="F758" i="2"/>
  <c r="G758" i="2"/>
  <c r="I758" i="2"/>
  <c r="F759" i="2"/>
  <c r="G759" i="2"/>
  <c r="I759" i="2"/>
  <c r="F760" i="2"/>
  <c r="G760" i="2"/>
  <c r="I760" i="2"/>
  <c r="F761" i="2"/>
  <c r="G761" i="2"/>
  <c r="F762" i="2"/>
  <c r="G762" i="2"/>
  <c r="I762" i="2"/>
  <c r="F763" i="2"/>
  <c r="G763" i="2"/>
  <c r="I763" i="2"/>
  <c r="F764" i="2"/>
  <c r="G764" i="2"/>
  <c r="I764" i="2"/>
  <c r="F765" i="2"/>
  <c r="G765" i="2"/>
  <c r="I765" i="2"/>
  <c r="F766" i="2"/>
  <c r="G766" i="2"/>
  <c r="I766" i="2"/>
  <c r="F767" i="2"/>
  <c r="G767" i="2"/>
  <c r="I767" i="2"/>
  <c r="F768" i="2"/>
  <c r="G768" i="2"/>
  <c r="I768" i="2"/>
  <c r="F769" i="2"/>
  <c r="G769" i="2"/>
  <c r="F770" i="2"/>
  <c r="G770" i="2"/>
  <c r="I770" i="2"/>
  <c r="F771" i="2"/>
  <c r="G771" i="2"/>
  <c r="I771" i="2"/>
  <c r="F772" i="2"/>
  <c r="G772" i="2"/>
  <c r="I772" i="2"/>
  <c r="F773" i="2"/>
  <c r="G773" i="2"/>
  <c r="I773" i="2"/>
  <c r="F774" i="2"/>
  <c r="G774" i="2"/>
  <c r="I774" i="2"/>
  <c r="F775" i="2"/>
  <c r="G775" i="2"/>
  <c r="I775" i="2"/>
  <c r="F776" i="2"/>
  <c r="G776" i="2"/>
  <c r="F777" i="2"/>
  <c r="G777" i="2"/>
  <c r="F778" i="2"/>
  <c r="G778" i="2"/>
  <c r="I778" i="2"/>
  <c r="F779" i="2"/>
  <c r="G779" i="2"/>
  <c r="I779" i="2"/>
  <c r="F780" i="2"/>
  <c r="G780" i="2"/>
  <c r="I780" i="2"/>
  <c r="F781" i="2"/>
  <c r="G781" i="2"/>
  <c r="I781" i="2"/>
  <c r="F782" i="2"/>
  <c r="G782" i="2"/>
  <c r="I782" i="2"/>
  <c r="F783" i="2"/>
  <c r="G783" i="2"/>
  <c r="I783" i="2"/>
  <c r="F784" i="2"/>
  <c r="G784" i="2"/>
  <c r="F785" i="2"/>
  <c r="G785" i="2"/>
  <c r="F786" i="2"/>
  <c r="G786" i="2"/>
  <c r="I786" i="2"/>
  <c r="F787" i="2"/>
  <c r="G787" i="2"/>
  <c r="I787" i="2"/>
  <c r="F788" i="2"/>
  <c r="G788" i="2"/>
  <c r="I788" i="2"/>
  <c r="F789" i="2"/>
  <c r="G789" i="2"/>
  <c r="I789" i="2"/>
  <c r="F790" i="2"/>
  <c r="G790" i="2"/>
  <c r="I790" i="2"/>
  <c r="F791" i="2"/>
  <c r="G791" i="2"/>
  <c r="I791" i="2"/>
  <c r="F792" i="2"/>
  <c r="G792" i="2"/>
  <c r="F793" i="2"/>
  <c r="G793" i="2"/>
  <c r="F794" i="2"/>
  <c r="G794" i="2"/>
  <c r="I794" i="2"/>
  <c r="F795" i="2"/>
  <c r="G795" i="2"/>
  <c r="I795" i="2"/>
  <c r="F796" i="2"/>
  <c r="G796" i="2"/>
  <c r="I796" i="2"/>
  <c r="F797" i="2"/>
  <c r="G797" i="2"/>
  <c r="I797" i="2"/>
  <c r="F798" i="2"/>
  <c r="G798" i="2"/>
  <c r="I798" i="2"/>
  <c r="F799" i="2"/>
  <c r="G799" i="2"/>
  <c r="I799" i="2"/>
  <c r="F800" i="2"/>
  <c r="G800" i="2"/>
  <c r="F801" i="2"/>
  <c r="G801" i="2"/>
  <c r="F802" i="2"/>
  <c r="G802" i="2"/>
  <c r="I802" i="2"/>
  <c r="F803" i="2"/>
  <c r="G803" i="2"/>
  <c r="I803" i="2"/>
  <c r="F804" i="2"/>
  <c r="G804" i="2"/>
  <c r="I804" i="2"/>
  <c r="F805" i="2"/>
  <c r="G805" i="2"/>
  <c r="I805" i="2"/>
  <c r="F806" i="2"/>
  <c r="G806" i="2"/>
  <c r="I806" i="2"/>
  <c r="F807" i="2"/>
  <c r="G807" i="2"/>
  <c r="I807" i="2"/>
  <c r="F808" i="2"/>
  <c r="G808" i="2"/>
  <c r="F809" i="2"/>
  <c r="G809" i="2"/>
  <c r="F810" i="2"/>
  <c r="G810" i="2"/>
  <c r="I810" i="2"/>
  <c r="F811" i="2"/>
  <c r="G811" i="2"/>
  <c r="I811" i="2"/>
  <c r="F812" i="2"/>
  <c r="G812" i="2"/>
  <c r="I812" i="2"/>
  <c r="F813" i="2"/>
  <c r="G813" i="2"/>
  <c r="I813" i="2"/>
  <c r="F814" i="2"/>
  <c r="G814" i="2"/>
  <c r="I814" i="2"/>
  <c r="F815" i="2"/>
  <c r="G815" i="2"/>
  <c r="I815" i="2"/>
  <c r="F816" i="2"/>
  <c r="G816" i="2"/>
  <c r="F817" i="2"/>
  <c r="G817" i="2"/>
  <c r="F818" i="2"/>
  <c r="G818" i="2"/>
  <c r="I818" i="2"/>
  <c r="F819" i="2"/>
  <c r="G819" i="2"/>
  <c r="I819" i="2"/>
  <c r="F820" i="2"/>
  <c r="G820" i="2"/>
  <c r="I820" i="2"/>
  <c r="F821" i="2"/>
  <c r="G821" i="2"/>
  <c r="I821" i="2"/>
  <c r="F822" i="2"/>
  <c r="G822" i="2"/>
  <c r="I822" i="2"/>
  <c r="F823" i="2"/>
  <c r="G823" i="2"/>
  <c r="I823" i="2"/>
  <c r="F824" i="2"/>
  <c r="G824" i="2"/>
  <c r="I824" i="2"/>
  <c r="F825" i="2"/>
  <c r="G825" i="2"/>
  <c r="F826" i="2"/>
  <c r="G826" i="2"/>
  <c r="I826" i="2"/>
  <c r="F827" i="2"/>
  <c r="G827" i="2"/>
  <c r="I827" i="2"/>
  <c r="F828" i="2"/>
  <c r="G828" i="2"/>
  <c r="I828" i="2"/>
  <c r="F829" i="2"/>
  <c r="G829" i="2"/>
  <c r="I829" i="2"/>
  <c r="F830" i="2"/>
  <c r="G830" i="2"/>
  <c r="I830" i="2"/>
  <c r="F831" i="2"/>
  <c r="G831" i="2"/>
  <c r="I831" i="2"/>
  <c r="F832" i="2"/>
  <c r="G832" i="2"/>
  <c r="I832" i="2"/>
  <c r="F833" i="2"/>
  <c r="G833" i="2"/>
  <c r="F834" i="2"/>
  <c r="G834" i="2"/>
  <c r="I834" i="2"/>
  <c r="F835" i="2"/>
  <c r="G835" i="2"/>
  <c r="I835" i="2"/>
  <c r="F836" i="2"/>
  <c r="G836" i="2"/>
  <c r="I836" i="2"/>
  <c r="F837" i="2"/>
  <c r="G837" i="2"/>
  <c r="I837" i="2"/>
  <c r="F838" i="2"/>
  <c r="G838" i="2"/>
  <c r="I838" i="2"/>
  <c r="F839" i="2"/>
  <c r="G839" i="2"/>
  <c r="I839" i="2"/>
  <c r="F840" i="2"/>
  <c r="G840" i="2"/>
  <c r="F841" i="2"/>
  <c r="G841" i="2"/>
  <c r="F842" i="2"/>
  <c r="G842" i="2"/>
  <c r="I842" i="2"/>
  <c r="F843" i="2"/>
  <c r="G843" i="2"/>
  <c r="I843" i="2"/>
  <c r="F844" i="2"/>
  <c r="G844" i="2"/>
  <c r="I844" i="2"/>
  <c r="F845" i="2"/>
  <c r="G845" i="2"/>
  <c r="I845" i="2"/>
  <c r="F846" i="2"/>
  <c r="G846" i="2"/>
  <c r="I846" i="2"/>
  <c r="F847" i="2"/>
  <c r="G847" i="2"/>
  <c r="I847" i="2"/>
  <c r="F848" i="2"/>
  <c r="G848" i="2"/>
  <c r="F849" i="2"/>
  <c r="G849" i="2"/>
  <c r="F850" i="2"/>
  <c r="G850" i="2"/>
  <c r="I850" i="2"/>
  <c r="F851" i="2"/>
  <c r="G851" i="2"/>
  <c r="I851" i="2"/>
  <c r="F852" i="2"/>
  <c r="G852" i="2"/>
  <c r="I852" i="2"/>
  <c r="F853" i="2"/>
  <c r="G853" i="2"/>
  <c r="I853" i="2"/>
  <c r="F854" i="2"/>
  <c r="G854" i="2"/>
  <c r="I854" i="2"/>
  <c r="F855" i="2"/>
  <c r="G855" i="2"/>
  <c r="I855" i="2"/>
  <c r="F856" i="2"/>
  <c r="G856" i="2"/>
  <c r="F857" i="2"/>
  <c r="G857" i="2"/>
  <c r="F858" i="2"/>
  <c r="G858" i="2"/>
  <c r="I858" i="2"/>
  <c r="F859" i="2"/>
  <c r="G859" i="2"/>
  <c r="I859" i="2"/>
  <c r="F860" i="2"/>
  <c r="G860" i="2"/>
  <c r="I860" i="2"/>
  <c r="F861" i="2"/>
  <c r="G861" i="2"/>
  <c r="I861" i="2"/>
  <c r="F862" i="2"/>
  <c r="G862" i="2"/>
  <c r="I862" i="2"/>
  <c r="F863" i="2"/>
  <c r="G863" i="2"/>
  <c r="I863" i="2"/>
  <c r="F864" i="2"/>
  <c r="G864" i="2"/>
  <c r="F865" i="2"/>
  <c r="G865" i="2"/>
  <c r="F866" i="2"/>
  <c r="G866" i="2"/>
  <c r="I866" i="2"/>
  <c r="F867" i="2"/>
  <c r="G867" i="2"/>
  <c r="I867" i="2"/>
  <c r="F868" i="2"/>
  <c r="G868" i="2"/>
  <c r="I868" i="2"/>
  <c r="F869" i="2"/>
  <c r="G869" i="2"/>
  <c r="I869" i="2"/>
  <c r="F870" i="2"/>
  <c r="G870" i="2"/>
  <c r="I870" i="2"/>
  <c r="F871" i="2"/>
  <c r="G871" i="2"/>
  <c r="I871" i="2"/>
  <c r="F872" i="2"/>
  <c r="G872" i="2"/>
  <c r="F873" i="2"/>
  <c r="G873" i="2"/>
  <c r="F874" i="2"/>
  <c r="G874" i="2"/>
  <c r="I874" i="2"/>
  <c r="F875" i="2"/>
  <c r="G875" i="2"/>
  <c r="I875" i="2"/>
  <c r="F876" i="2"/>
  <c r="G876" i="2"/>
  <c r="I876" i="2"/>
  <c r="F877" i="2"/>
  <c r="G877" i="2"/>
  <c r="I877" i="2"/>
  <c r="F878" i="2"/>
  <c r="G878" i="2"/>
  <c r="I878" i="2"/>
  <c r="F879" i="2"/>
  <c r="G879" i="2"/>
  <c r="I879" i="2"/>
  <c r="F880" i="2"/>
  <c r="G880" i="2"/>
  <c r="F881" i="2"/>
  <c r="G881" i="2"/>
  <c r="F882" i="2"/>
  <c r="G882" i="2"/>
  <c r="I882" i="2"/>
  <c r="F883" i="2"/>
  <c r="G883" i="2"/>
  <c r="I883" i="2"/>
  <c r="F884" i="2"/>
  <c r="G884" i="2"/>
  <c r="I884" i="2"/>
  <c r="F885" i="2"/>
  <c r="G885" i="2"/>
  <c r="I885" i="2"/>
  <c r="F886" i="2"/>
  <c r="G886" i="2"/>
  <c r="I886" i="2"/>
  <c r="F887" i="2"/>
  <c r="G887" i="2"/>
  <c r="I887" i="2"/>
  <c r="F888" i="2"/>
  <c r="G888" i="2"/>
  <c r="I888" i="2"/>
  <c r="F889" i="2"/>
  <c r="G889" i="2"/>
  <c r="F890" i="2"/>
  <c r="G890" i="2"/>
  <c r="I890" i="2"/>
  <c r="F891" i="2"/>
  <c r="G891" i="2"/>
  <c r="I891" i="2"/>
  <c r="F892" i="2"/>
  <c r="G892" i="2"/>
  <c r="I892" i="2"/>
  <c r="F893" i="2"/>
  <c r="G893" i="2"/>
  <c r="I893" i="2"/>
  <c r="F894" i="2"/>
  <c r="G894" i="2"/>
  <c r="I894" i="2"/>
  <c r="F895" i="2"/>
  <c r="G895" i="2"/>
  <c r="I895" i="2"/>
  <c r="F896" i="2"/>
  <c r="G896" i="2"/>
  <c r="I896" i="2"/>
  <c r="F897" i="2"/>
  <c r="G897" i="2"/>
  <c r="F898" i="2"/>
  <c r="G898" i="2"/>
  <c r="I898" i="2"/>
  <c r="F899" i="2"/>
  <c r="G899" i="2"/>
  <c r="I899" i="2"/>
  <c r="F900" i="2"/>
  <c r="G900" i="2"/>
  <c r="I900" i="2"/>
  <c r="F901" i="2"/>
  <c r="G901" i="2"/>
  <c r="I901" i="2"/>
  <c r="F902" i="2"/>
  <c r="G902" i="2"/>
  <c r="I902" i="2"/>
  <c r="F903" i="2"/>
  <c r="G903" i="2"/>
  <c r="I903" i="2"/>
  <c r="F904" i="2"/>
  <c r="G904" i="2"/>
  <c r="F905" i="2"/>
  <c r="G905" i="2"/>
  <c r="F906" i="2"/>
  <c r="G906" i="2"/>
  <c r="I906" i="2"/>
  <c r="F907" i="2"/>
  <c r="G907" i="2"/>
  <c r="I907" i="2"/>
  <c r="F908" i="2"/>
  <c r="G908" i="2"/>
  <c r="I908" i="2"/>
  <c r="F909" i="2"/>
  <c r="G909" i="2"/>
  <c r="I909" i="2"/>
  <c r="F910" i="2"/>
  <c r="G910" i="2"/>
  <c r="I910" i="2"/>
  <c r="F911" i="2"/>
  <c r="G911" i="2"/>
  <c r="I911" i="2"/>
  <c r="F912" i="2"/>
  <c r="G912" i="2"/>
  <c r="F913" i="2"/>
  <c r="G913" i="2"/>
  <c r="F914" i="2"/>
  <c r="G914" i="2"/>
  <c r="I914" i="2"/>
  <c r="F915" i="2"/>
  <c r="G915" i="2"/>
  <c r="I915" i="2"/>
  <c r="F916" i="2"/>
  <c r="G916" i="2"/>
  <c r="I916" i="2"/>
  <c r="F917" i="2"/>
  <c r="G917" i="2"/>
  <c r="I917" i="2"/>
  <c r="F918" i="2"/>
  <c r="G918" i="2"/>
  <c r="I918" i="2"/>
  <c r="F919" i="2"/>
  <c r="G919" i="2"/>
  <c r="I919" i="2"/>
  <c r="F920" i="2"/>
  <c r="G920" i="2"/>
  <c r="F921" i="2"/>
  <c r="G921" i="2"/>
  <c r="F922" i="2"/>
  <c r="G922" i="2"/>
  <c r="I922" i="2"/>
  <c r="F923" i="2"/>
  <c r="G923" i="2"/>
  <c r="I923" i="2"/>
  <c r="F924" i="2"/>
  <c r="G924" i="2"/>
  <c r="I924" i="2"/>
  <c r="F925" i="2"/>
  <c r="G925" i="2"/>
  <c r="I925" i="2"/>
  <c r="F926" i="2"/>
  <c r="G926" i="2"/>
  <c r="I926" i="2"/>
  <c r="F927" i="2"/>
  <c r="G927" i="2"/>
  <c r="I927" i="2"/>
  <c r="F928" i="2"/>
  <c r="G928" i="2"/>
  <c r="F929" i="2"/>
  <c r="G929" i="2"/>
  <c r="F930" i="2"/>
  <c r="G930" i="2"/>
  <c r="I930" i="2"/>
  <c r="F931" i="2"/>
  <c r="G931" i="2"/>
  <c r="I931" i="2"/>
  <c r="F932" i="2"/>
  <c r="G932" i="2"/>
  <c r="I932" i="2"/>
  <c r="F933" i="2"/>
  <c r="G933" i="2"/>
  <c r="I933" i="2"/>
  <c r="F934" i="2"/>
  <c r="G934" i="2"/>
  <c r="I934" i="2"/>
  <c r="F935" i="2"/>
  <c r="G935" i="2"/>
  <c r="I935" i="2"/>
  <c r="F936" i="2"/>
  <c r="G936" i="2"/>
  <c r="F937" i="2"/>
  <c r="G937" i="2"/>
  <c r="F938" i="2"/>
  <c r="G938" i="2"/>
  <c r="I938" i="2"/>
  <c r="F939" i="2"/>
  <c r="G939" i="2"/>
  <c r="I939" i="2"/>
  <c r="F940" i="2"/>
  <c r="G940" i="2"/>
  <c r="I940" i="2"/>
  <c r="F941" i="2"/>
  <c r="G941" i="2"/>
  <c r="I941" i="2"/>
  <c r="F942" i="2"/>
  <c r="G942" i="2"/>
  <c r="I942" i="2"/>
  <c r="F943" i="2"/>
  <c r="G943" i="2"/>
  <c r="I943" i="2"/>
  <c r="F944" i="2"/>
  <c r="G944" i="2"/>
  <c r="F945" i="2"/>
  <c r="G945" i="2"/>
  <c r="F946" i="2"/>
  <c r="G946" i="2"/>
  <c r="I946" i="2"/>
  <c r="F947" i="2"/>
  <c r="G947" i="2"/>
  <c r="I947" i="2"/>
  <c r="F948" i="2"/>
  <c r="G948" i="2"/>
  <c r="I948" i="2"/>
  <c r="F949" i="2"/>
  <c r="G949" i="2"/>
  <c r="I949" i="2"/>
  <c r="F950" i="2"/>
  <c r="G950" i="2"/>
  <c r="I950" i="2"/>
  <c r="F951" i="2"/>
  <c r="G951" i="2"/>
  <c r="I951" i="2"/>
  <c r="F952" i="2"/>
  <c r="G952" i="2"/>
  <c r="I952" i="2"/>
  <c r="F953" i="2"/>
  <c r="G953" i="2"/>
  <c r="F954" i="2"/>
  <c r="G954" i="2"/>
  <c r="I954" i="2"/>
  <c r="F955" i="2"/>
  <c r="G955" i="2"/>
  <c r="I955" i="2"/>
  <c r="F956" i="2"/>
  <c r="G956" i="2"/>
  <c r="I956" i="2"/>
  <c r="F957" i="2"/>
  <c r="G957" i="2"/>
  <c r="I957" i="2"/>
  <c r="F958" i="2"/>
  <c r="G958" i="2"/>
  <c r="I958" i="2"/>
  <c r="F959" i="2"/>
  <c r="G959" i="2"/>
  <c r="I959" i="2"/>
  <c r="F960" i="2"/>
  <c r="G960" i="2"/>
  <c r="I960" i="2"/>
  <c r="F961" i="2"/>
  <c r="G961" i="2"/>
  <c r="F962" i="2"/>
  <c r="G962" i="2"/>
  <c r="I962" i="2"/>
  <c r="F963" i="2"/>
  <c r="G963" i="2"/>
  <c r="I963" i="2"/>
  <c r="F964" i="2"/>
  <c r="G964" i="2"/>
  <c r="I964" i="2"/>
  <c r="F965" i="2"/>
  <c r="G965" i="2"/>
  <c r="I965" i="2"/>
  <c r="F966" i="2"/>
  <c r="G966" i="2"/>
  <c r="I966" i="2"/>
  <c r="F967" i="2"/>
  <c r="G967" i="2"/>
  <c r="I967" i="2"/>
  <c r="F968" i="2"/>
  <c r="G968" i="2"/>
  <c r="F969" i="2"/>
  <c r="G969" i="2"/>
  <c r="F970" i="2"/>
  <c r="G970" i="2"/>
  <c r="I970" i="2"/>
  <c r="F971" i="2"/>
  <c r="G971" i="2"/>
  <c r="I971" i="2"/>
  <c r="F972" i="2"/>
  <c r="G972" i="2"/>
  <c r="I972" i="2"/>
  <c r="F973" i="2"/>
  <c r="G973" i="2"/>
  <c r="I973" i="2"/>
  <c r="F974" i="2"/>
  <c r="G974" i="2"/>
  <c r="I974" i="2"/>
  <c r="F975" i="2"/>
  <c r="G975" i="2"/>
  <c r="I975" i="2"/>
  <c r="F976" i="2"/>
  <c r="G976" i="2"/>
  <c r="F977" i="2"/>
  <c r="G977" i="2"/>
  <c r="F978" i="2"/>
  <c r="G978" i="2"/>
  <c r="I978" i="2"/>
  <c r="F979" i="2"/>
  <c r="G979" i="2"/>
  <c r="I979" i="2"/>
  <c r="F980" i="2"/>
  <c r="G980" i="2"/>
  <c r="I980" i="2"/>
  <c r="F981" i="2"/>
  <c r="G981" i="2"/>
  <c r="I981" i="2"/>
  <c r="F982" i="2"/>
  <c r="G982" i="2"/>
  <c r="I982" i="2"/>
  <c r="F983" i="2"/>
  <c r="G983" i="2"/>
  <c r="I983" i="2"/>
  <c r="F984" i="2"/>
  <c r="G984" i="2"/>
  <c r="F985" i="2"/>
  <c r="G985" i="2"/>
  <c r="F986" i="2"/>
  <c r="G986" i="2"/>
  <c r="I986" i="2"/>
  <c r="F987" i="2"/>
  <c r="G987" i="2"/>
  <c r="I987" i="2"/>
  <c r="F988" i="2"/>
  <c r="G988" i="2"/>
  <c r="I988" i="2"/>
  <c r="F989" i="2"/>
  <c r="G989" i="2"/>
  <c r="I989" i="2"/>
  <c r="F990" i="2"/>
  <c r="G990" i="2"/>
  <c r="I990" i="2"/>
  <c r="F991" i="2"/>
  <c r="G991" i="2"/>
  <c r="I991" i="2"/>
  <c r="F992" i="2"/>
  <c r="G992" i="2"/>
  <c r="F993" i="2"/>
  <c r="G993" i="2"/>
  <c r="F994" i="2"/>
  <c r="G994" i="2"/>
  <c r="I994" i="2"/>
  <c r="F995" i="2"/>
  <c r="G995" i="2"/>
  <c r="I995" i="2"/>
  <c r="F996" i="2"/>
  <c r="G996" i="2"/>
  <c r="I996" i="2"/>
  <c r="F997" i="2"/>
  <c r="G997" i="2"/>
  <c r="I997" i="2"/>
  <c r="F998" i="2"/>
  <c r="G998" i="2"/>
  <c r="I998" i="2"/>
  <c r="F999" i="2"/>
  <c r="G999" i="2"/>
  <c r="I999" i="2"/>
  <c r="F1000" i="2"/>
  <c r="G1000" i="2"/>
  <c r="F2" i="2"/>
  <c r="G2" i="2"/>
  <c r="I2" i="2" l="1"/>
  <c r="I3" i="2" l="1"/>
  <c r="I4" i="2" l="1"/>
  <c r="E3" i="1" s="1"/>
  <c r="E4" i="1" l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J3" i="1"/>
  <c r="I3" i="1"/>
  <c r="H3" i="1"/>
  <c r="F3" i="1"/>
  <c r="G3" i="1"/>
  <c r="K3" i="1" l="1"/>
  <c r="J4" i="1"/>
  <c r="F4" i="1"/>
  <c r="G4" i="1"/>
  <c r="H4" i="1"/>
  <c r="I4" i="1"/>
  <c r="G6" i="1"/>
  <c r="F6" i="1"/>
  <c r="J6" i="1"/>
  <c r="I6" i="1"/>
  <c r="H6" i="1"/>
  <c r="J5" i="1"/>
  <c r="I5" i="1"/>
  <c r="H5" i="1"/>
  <c r="G5" i="1"/>
  <c r="F5" i="1"/>
  <c r="J7" i="1" l="1"/>
  <c r="I7" i="1"/>
  <c r="H7" i="1"/>
  <c r="G7" i="1"/>
  <c r="F7" i="1"/>
  <c r="J8" i="1" l="1"/>
  <c r="I8" i="1"/>
  <c r="H8" i="1"/>
  <c r="G8" i="1"/>
  <c r="F8" i="1"/>
  <c r="H9" i="1" l="1"/>
  <c r="G9" i="1"/>
  <c r="F9" i="1"/>
  <c r="J9" i="1"/>
  <c r="I9" i="1"/>
  <c r="J10" i="1" l="1"/>
  <c r="I10" i="1"/>
  <c r="H10" i="1"/>
  <c r="G10" i="1"/>
  <c r="F10" i="1"/>
  <c r="F11" i="1" l="1"/>
  <c r="J11" i="1"/>
  <c r="I11" i="1"/>
  <c r="H11" i="1"/>
  <c r="G11" i="1"/>
  <c r="I12" i="1" l="1"/>
  <c r="H12" i="1"/>
  <c r="G12" i="1"/>
  <c r="F12" i="1"/>
  <c r="J12" i="1"/>
  <c r="J13" i="1" l="1"/>
  <c r="I13" i="1"/>
  <c r="H13" i="1"/>
  <c r="G13" i="1"/>
  <c r="F13" i="1"/>
  <c r="G14" i="1" l="1"/>
  <c r="F14" i="1"/>
  <c r="J14" i="1"/>
  <c r="I14" i="1"/>
  <c r="H14" i="1"/>
  <c r="J15" i="1" l="1"/>
  <c r="I15" i="1"/>
  <c r="H15" i="1"/>
  <c r="G15" i="1"/>
  <c r="F15" i="1"/>
  <c r="J16" i="1" l="1"/>
  <c r="I16" i="1"/>
  <c r="H16" i="1"/>
  <c r="G16" i="1"/>
  <c r="F16" i="1"/>
  <c r="H17" i="1" l="1"/>
  <c r="G17" i="1"/>
  <c r="F17" i="1"/>
  <c r="J17" i="1"/>
  <c r="I17" i="1"/>
  <c r="J18" i="1" l="1"/>
  <c r="I18" i="1"/>
  <c r="H18" i="1"/>
  <c r="G18" i="1"/>
  <c r="F18" i="1"/>
  <c r="F19" i="1" l="1"/>
  <c r="J19" i="1"/>
  <c r="I19" i="1"/>
  <c r="H19" i="1"/>
  <c r="G19" i="1"/>
  <c r="I20" i="1" l="1"/>
  <c r="H20" i="1"/>
  <c r="G20" i="1"/>
  <c r="F20" i="1"/>
  <c r="J20" i="1"/>
  <c r="J21" i="1" l="1"/>
  <c r="I21" i="1"/>
  <c r="H21" i="1"/>
  <c r="G21" i="1"/>
  <c r="F21" i="1"/>
  <c r="G22" i="1" l="1"/>
  <c r="F22" i="1"/>
  <c r="J22" i="1"/>
  <c r="I22" i="1"/>
  <c r="H22" i="1"/>
  <c r="J23" i="1" l="1"/>
  <c r="I23" i="1"/>
  <c r="H23" i="1"/>
  <c r="G23" i="1"/>
  <c r="F23" i="1"/>
  <c r="J24" i="1" l="1"/>
  <c r="I24" i="1"/>
  <c r="H24" i="1"/>
  <c r="G24" i="1"/>
  <c r="F24" i="1"/>
  <c r="H25" i="1" l="1"/>
  <c r="G25" i="1"/>
  <c r="F25" i="1"/>
  <c r="J25" i="1"/>
  <c r="I25" i="1"/>
  <c r="J26" i="1" l="1"/>
  <c r="I26" i="1"/>
  <c r="H26" i="1"/>
  <c r="G26" i="1"/>
  <c r="F26" i="1"/>
  <c r="F27" i="1" l="1"/>
  <c r="J27" i="1"/>
  <c r="I27" i="1"/>
  <c r="H27" i="1"/>
  <c r="G27" i="1"/>
  <c r="I28" i="1" l="1"/>
  <c r="H28" i="1"/>
  <c r="G28" i="1"/>
  <c r="F28" i="1"/>
  <c r="J28" i="1"/>
  <c r="J29" i="1" l="1"/>
  <c r="I29" i="1"/>
  <c r="H29" i="1"/>
  <c r="G29" i="1"/>
  <c r="F29" i="1"/>
  <c r="G30" i="1" l="1"/>
  <c r="F30" i="1"/>
  <c r="J30" i="1"/>
  <c r="I30" i="1"/>
  <c r="H30" i="1"/>
  <c r="J31" i="1" l="1"/>
  <c r="I31" i="1"/>
  <c r="H31" i="1"/>
  <c r="G31" i="1"/>
  <c r="F31" i="1"/>
  <c r="J32" i="1" l="1"/>
  <c r="I32" i="1"/>
  <c r="H32" i="1"/>
  <c r="G32" i="1"/>
  <c r="F32" i="1"/>
  <c r="H33" i="1" l="1"/>
  <c r="G33" i="1"/>
  <c r="F33" i="1"/>
  <c r="J33" i="1"/>
  <c r="I33" i="1"/>
  <c r="J34" i="1" l="1"/>
  <c r="I34" i="1"/>
  <c r="H34" i="1"/>
  <c r="G34" i="1"/>
  <c r="F34" i="1"/>
  <c r="F35" i="1" l="1"/>
  <c r="J35" i="1"/>
  <c r="I35" i="1"/>
  <c r="H35" i="1"/>
  <c r="G35" i="1"/>
  <c r="I36" i="1" l="1"/>
  <c r="H36" i="1"/>
  <c r="G36" i="1"/>
  <c r="F36" i="1"/>
  <c r="J36" i="1"/>
  <c r="J37" i="1" l="1"/>
  <c r="I37" i="1"/>
  <c r="H37" i="1"/>
  <c r="G37" i="1"/>
  <c r="F37" i="1"/>
  <c r="G38" i="1" l="1"/>
  <c r="F38" i="1"/>
  <c r="J38" i="1"/>
  <c r="I38" i="1"/>
  <c r="H38" i="1"/>
  <c r="J39" i="1" l="1"/>
  <c r="I39" i="1"/>
  <c r="H39" i="1"/>
  <c r="G39" i="1"/>
  <c r="F39" i="1"/>
  <c r="J40" i="1" l="1"/>
  <c r="I40" i="1"/>
  <c r="H40" i="1"/>
  <c r="G40" i="1"/>
  <c r="F40" i="1"/>
  <c r="H41" i="1" l="1"/>
  <c r="G41" i="1"/>
  <c r="F41" i="1"/>
  <c r="J41" i="1"/>
  <c r="I41" i="1"/>
  <c r="J42" i="1" l="1"/>
  <c r="I42" i="1"/>
  <c r="H42" i="1"/>
  <c r="G42" i="1"/>
  <c r="F42" i="1"/>
  <c r="F43" i="1" l="1"/>
  <c r="J43" i="1"/>
  <c r="I43" i="1"/>
  <c r="H43" i="1"/>
  <c r="G43" i="1"/>
  <c r="I44" i="1" l="1"/>
  <c r="H44" i="1"/>
  <c r="G44" i="1"/>
  <c r="F44" i="1"/>
  <c r="J44" i="1"/>
  <c r="J45" i="1" l="1"/>
  <c r="I45" i="1"/>
  <c r="H45" i="1"/>
  <c r="G45" i="1"/>
  <c r="F45" i="1"/>
  <c r="G46" i="1" l="1"/>
  <c r="F46" i="1"/>
  <c r="J46" i="1"/>
  <c r="I46" i="1"/>
  <c r="H46" i="1"/>
  <c r="J47" i="1" l="1"/>
  <c r="I47" i="1"/>
  <c r="H47" i="1"/>
  <c r="G47" i="1"/>
  <c r="F47" i="1"/>
  <c r="J48" i="1" l="1"/>
  <c r="I48" i="1"/>
  <c r="H48" i="1"/>
  <c r="G48" i="1"/>
  <c r="F48" i="1"/>
  <c r="H49" i="1" l="1"/>
  <c r="G49" i="1"/>
  <c r="F49" i="1"/>
  <c r="J49" i="1"/>
  <c r="I49" i="1"/>
  <c r="J50" i="1" l="1"/>
  <c r="I50" i="1"/>
  <c r="H50" i="1"/>
  <c r="G50" i="1"/>
  <c r="F50" i="1"/>
  <c r="F51" i="1"/>
</calcChain>
</file>

<file path=xl/sharedStrings.xml><?xml version="1.0" encoding="utf-8"?>
<sst xmlns="http://schemas.openxmlformats.org/spreadsheetml/2006/main" count="36" uniqueCount="23">
  <si>
    <t>Data</t>
  </si>
  <si>
    <t>Solicitante</t>
  </si>
  <si>
    <t>Sala</t>
  </si>
  <si>
    <t>Salas</t>
  </si>
  <si>
    <t>Sala Algodão</t>
  </si>
  <si>
    <t>Sala Milho</t>
  </si>
  <si>
    <t>Sala Soja</t>
  </si>
  <si>
    <t>Sala Batata</t>
  </si>
  <si>
    <t>Sala Treinamento</t>
  </si>
  <si>
    <t>Sala Trigo</t>
  </si>
  <si>
    <t>Renato</t>
  </si>
  <si>
    <t>Hora Inicio</t>
  </si>
  <si>
    <t>Hora Final</t>
  </si>
  <si>
    <t>Hora fim</t>
  </si>
  <si>
    <t>Verificação Sala</t>
  </si>
  <si>
    <t>Verificação Data</t>
  </si>
  <si>
    <t>Verificação Geral</t>
  </si>
  <si>
    <t>Contador</t>
  </si>
  <si>
    <t>#</t>
  </si>
  <si>
    <t>Para saber o agendamento do dia 
basta digitar a data na célula abaixo</t>
  </si>
  <si>
    <t>Aline</t>
  </si>
  <si>
    <t>Duplicado?</t>
  </si>
  <si>
    <t>Agendamento para Aline realizado com sucesso!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</si>
</sst>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5"/>
        <bgColor theme="8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20" fontId="0" fillId="0" borderId="1" xfId="0" applyNumberFormat="1" applyBorder="1" applyAlignment="1" applyProtection="1">
      <alignment horizontal="right"/>
      <protection locked="0"/>
    </xf>
    <xf numFmtId="0" fontId="2" fillId="4" borderId="1" xfId="0" applyFont="1" applyFill="1" applyBorder="1" applyAlignment="1" applyProtection="1">
      <alignment horizontal="center" wrapText="1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Protection="1"/>
    <xf numFmtId="0" fontId="2" fillId="4" borderId="1" xfId="0" applyFont="1" applyFill="1" applyBorder="1" applyAlignment="1" applyProtection="1">
      <alignment horizontal="center" vertical="center"/>
    </xf>
    <xf numFmtId="14" fontId="1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1" fillId="4" borderId="1" xfId="0" applyFont="1" applyFill="1" applyBorder="1" applyProtection="1"/>
    <xf numFmtId="0" fontId="0" fillId="0" borderId="1" xfId="0" applyBorder="1" applyAlignment="1" applyProtection="1">
      <alignment horizontal="center"/>
    </xf>
    <xf numFmtId="14" fontId="0" fillId="0" borderId="1" xfId="0" applyNumberFormat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4" fontId="0" fillId="0" borderId="0" xfId="0" applyNumberFormat="1" applyAlignment="1" applyProtection="1">
      <alignment horizontal="center"/>
    </xf>
    <xf numFmtId="14" fontId="1" fillId="2" borderId="1" xfId="0" applyNumberFormat="1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164" fontId="1" fillId="2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20" fontId="0" fillId="0" borderId="0" xfId="0" applyNumberFormat="1" applyProtection="1"/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2" fillId="5" borderId="0" xfId="0" applyFont="1" applyFill="1" applyProtection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19050</xdr:rowOff>
    </xdr:from>
    <xdr:to>
      <xdr:col>2</xdr:col>
      <xdr:colOff>2352675</xdr:colOff>
      <xdr:row>10</xdr:row>
      <xdr:rowOff>19050</xdr:rowOff>
    </xdr:to>
    <xdr:sp macro="[0]!cadastro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4EDCD63A-A916-B36C-D898-BF006F256CC2}"/>
            </a:ext>
          </a:extLst>
        </xdr:cNvPr>
        <xdr:cNvSpPr/>
      </xdr:nvSpPr>
      <xdr:spPr>
        <a:xfrm>
          <a:off x="619125" y="1543050"/>
          <a:ext cx="3038475" cy="381000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/>
            <a:t>Cadastrar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DFCC-93AE-4FC6-B362-12DA14E3CB33}">
  <sheetPr codeName="Planilha1"/>
  <dimension ref="B2:P51"/>
  <sheetViews>
    <sheetView showGridLines="0" tabSelected="1" workbookViewId="0">
      <selection activeCell="C3" sqref="C3"/>
    </sheetView>
  </sheetViews>
  <sheetFormatPr defaultRowHeight="15" x14ac:dyDescent="0.25"/>
  <cols>
    <col min="1" max="1" width="9.140625" style="6"/>
    <col min="2" max="2" width="10.42578125" style="6" bestFit="1" customWidth="1"/>
    <col min="3" max="3" width="35.5703125" style="6" customWidth="1"/>
    <col min="4" max="4" width="9.140625" style="6"/>
    <col min="5" max="5" width="3.140625" style="19" customWidth="1"/>
    <col min="6" max="6" width="10.7109375" style="21" bestFit="1" customWidth="1"/>
    <col min="7" max="7" width="10.42578125" style="19" bestFit="1" customWidth="1"/>
    <col min="8" max="8" width="10.42578125" style="20" bestFit="1" customWidth="1"/>
    <col min="9" max="9" width="8.5703125" style="20" bestFit="1" customWidth="1"/>
    <col min="10" max="10" width="16.5703125" style="19" bestFit="1" customWidth="1"/>
    <col min="11" max="11" width="10.85546875" style="6" bestFit="1" customWidth="1"/>
    <col min="12" max="12" width="10.85546875" style="6" customWidth="1"/>
    <col min="13" max="16384" width="9.140625" style="6"/>
  </cols>
  <sheetData>
    <row r="2" spans="2:16" ht="28.5" customHeight="1" x14ac:dyDescent="0.25">
      <c r="B2" s="4" t="s">
        <v>19</v>
      </c>
      <c r="C2" s="5"/>
      <c r="E2" s="7" t="s">
        <v>18</v>
      </c>
      <c r="F2" s="8" t="s">
        <v>0</v>
      </c>
      <c r="G2" s="9" t="s">
        <v>1</v>
      </c>
      <c r="H2" s="10" t="s">
        <v>11</v>
      </c>
      <c r="I2" s="10" t="s">
        <v>13</v>
      </c>
      <c r="J2" s="9" t="s">
        <v>2</v>
      </c>
      <c r="K2" s="9" t="s">
        <v>21</v>
      </c>
      <c r="M2" s="11" t="s">
        <v>22</v>
      </c>
      <c r="N2" s="11"/>
      <c r="O2" s="11"/>
      <c r="P2" s="11"/>
    </row>
    <row r="3" spans="2:16" x14ac:dyDescent="0.25">
      <c r="B3" s="12" t="s">
        <v>0</v>
      </c>
      <c r="C3" s="1">
        <v>44726</v>
      </c>
      <c r="E3" s="13">
        <f>IF(MIN('Base de Dados'!I:I)&gt;0,MIN('Base de Dados'!I:I),"")</f>
        <v>1</v>
      </c>
      <c r="F3" s="14">
        <f>IF(E3="","",_xlfn.XLOOKUP(E3,'Base de Dados'!I:I,'Base de Dados'!A:A,,0))</f>
        <v>44726</v>
      </c>
      <c r="G3" s="13" t="str">
        <f>IF(E3="","",_xlfn.XLOOKUP(E3,'Base de Dados'!I:I,'Base de Dados'!B:B,,0))</f>
        <v>Renato</v>
      </c>
      <c r="H3" s="15">
        <f>IF(E3="","",_xlfn.XLOOKUP(E3,'Base de Dados'!I:I,'Base de Dados'!C:C,,0))</f>
        <v>0.4375</v>
      </c>
      <c r="I3" s="15">
        <f>IF(E3="","",_xlfn.XLOOKUP(E3,'Base de Dados'!I:I,'Base de Dados'!D:D,,0))</f>
        <v>0.44791666666666669</v>
      </c>
      <c r="J3" s="13" t="str">
        <f>IF(E3="","",_xlfn.XLOOKUP(E3,'Base de Dados'!I:I,'Base de Dados'!E:E,,0))</f>
        <v>Sala Treinamento</v>
      </c>
      <c r="K3" s="13" t="str">
        <f>IF(AND(F3=$C$3,J3=$C$7,$C$5=H3,$C$6=I3),"x","")</f>
        <v/>
      </c>
      <c r="L3" s="16"/>
      <c r="M3" s="11"/>
      <c r="N3" s="11"/>
      <c r="O3" s="11"/>
      <c r="P3" s="11"/>
    </row>
    <row r="4" spans="2:16" x14ac:dyDescent="0.25">
      <c r="B4" s="12" t="s">
        <v>1</v>
      </c>
      <c r="C4" s="2"/>
      <c r="E4" s="13">
        <f>IF(E3="","",IF(E3+1&lt;=MAX('Base de Dados'!I:I),E3+1,""))</f>
        <v>2</v>
      </c>
      <c r="F4" s="14">
        <f>IF(E4="","",_xlfn.XLOOKUP(E4,'Base de Dados'!I:I,'Base de Dados'!A:A,,0))</f>
        <v>44726</v>
      </c>
      <c r="G4" s="13" t="str">
        <f>IF(E4="","",_xlfn.XLOOKUP(E4,'Base de Dados'!I:I,'Base de Dados'!B:B,,0))</f>
        <v>Renato</v>
      </c>
      <c r="H4" s="15">
        <f>IF(E4="","",_xlfn.XLOOKUP(E4,'Base de Dados'!I:I,'Base de Dados'!C:C,,0))</f>
        <v>0.4375</v>
      </c>
      <c r="I4" s="15">
        <f>IF(E4="","",_xlfn.XLOOKUP(E4,'Base de Dados'!I:I,'Base de Dados'!D:D,,0))</f>
        <v>0.44791666666666669</v>
      </c>
      <c r="J4" s="13" t="str">
        <f>IF(E4="","",_xlfn.XLOOKUP(E4,'Base de Dados'!I:I,'Base de Dados'!E:E,,0))</f>
        <v>Sala Trigo</v>
      </c>
      <c r="K4" s="17"/>
      <c r="L4" s="18"/>
      <c r="M4" s="11"/>
      <c r="N4" s="11"/>
      <c r="O4" s="11"/>
      <c r="P4" s="11"/>
    </row>
    <row r="5" spans="2:16" x14ac:dyDescent="0.25">
      <c r="B5" s="12" t="s">
        <v>11</v>
      </c>
      <c r="C5" s="3"/>
      <c r="E5" s="13">
        <f>IF(E4="","",IF(E4+1&lt;=MAX('Base de Dados'!I:I),E4+1,""))</f>
        <v>3</v>
      </c>
      <c r="F5" s="14">
        <f>IF(E5="","",_xlfn.XLOOKUP(E5,'Base de Dados'!I:I,'Base de Dados'!A:A,,0))</f>
        <v>44726</v>
      </c>
      <c r="G5" s="13" t="str">
        <f>IF(E5="","",_xlfn.XLOOKUP(E5,'Base de Dados'!I:I,'Base de Dados'!B:B,,0))</f>
        <v>Aline</v>
      </c>
      <c r="H5" s="15">
        <f>IF(E5="","",_xlfn.XLOOKUP(E5,'Base de Dados'!I:I,'Base de Dados'!C:C,,0))</f>
        <v>0.4375</v>
      </c>
      <c r="I5" s="15">
        <f>IF(E5="","",_xlfn.XLOOKUP(E5,'Base de Dados'!I:I,'Base de Dados'!D:D,,0))</f>
        <v>0.44791666666666669</v>
      </c>
      <c r="J5" s="13" t="str">
        <f>IF(E5="","",_xlfn.XLOOKUP(E5,'Base de Dados'!I:I,'Base de Dados'!E:E,,0))</f>
        <v>Sala Batata</v>
      </c>
      <c r="K5" s="17"/>
      <c r="L5" s="18"/>
      <c r="M5" s="11"/>
      <c r="N5" s="11"/>
      <c r="O5" s="11"/>
      <c r="P5" s="11"/>
    </row>
    <row r="6" spans="2:16" x14ac:dyDescent="0.25">
      <c r="B6" s="12" t="s">
        <v>12</v>
      </c>
      <c r="C6" s="3"/>
      <c r="E6" s="13" t="str">
        <f>IF(E5="","",IF(E5+1&lt;=MAX('Base de Dados'!I:I),E5+1,""))</f>
        <v/>
      </c>
      <c r="F6" s="14" t="str">
        <f>IF(E6="","",_xlfn.XLOOKUP(E6,'Base de Dados'!I:I,'Base de Dados'!A:A,,0))</f>
        <v/>
      </c>
      <c r="G6" s="13" t="str">
        <f>IF(E6="","",_xlfn.XLOOKUP(E6,'Base de Dados'!I:I,'Base de Dados'!B:B,,0))</f>
        <v/>
      </c>
      <c r="H6" s="15" t="str">
        <f>IF(E6="","",_xlfn.XLOOKUP(E6,'Base de Dados'!I:I,'Base de Dados'!C:C,,0))</f>
        <v/>
      </c>
      <c r="I6" s="15" t="str">
        <f>IF(E6="","",_xlfn.XLOOKUP(E6,'Base de Dados'!I:I,'Base de Dados'!D:D,,0))</f>
        <v/>
      </c>
      <c r="J6" s="13" t="str">
        <f>IF(E6="","",_xlfn.XLOOKUP(E6,'Base de Dados'!I:I,'Base de Dados'!E:E,,0))</f>
        <v/>
      </c>
      <c r="K6" s="17"/>
      <c r="L6" s="18"/>
      <c r="M6" s="11"/>
      <c r="N6" s="11"/>
      <c r="O6" s="11"/>
      <c r="P6" s="11"/>
    </row>
    <row r="7" spans="2:16" x14ac:dyDescent="0.25">
      <c r="B7" s="12" t="s">
        <v>2</v>
      </c>
      <c r="C7" s="2"/>
      <c r="E7" s="13" t="str">
        <f>IF(E6="","",IF(E6+1&lt;=MAX('Base de Dados'!I:I),E6+1,""))</f>
        <v/>
      </c>
      <c r="F7" s="14" t="str">
        <f>IF(E7="","",_xlfn.XLOOKUP(E7,'Base de Dados'!I:I,'Base de Dados'!A:A,,0))</f>
        <v/>
      </c>
      <c r="G7" s="13" t="str">
        <f>IF(E7="","",_xlfn.XLOOKUP(E7,'Base de Dados'!I:I,'Base de Dados'!B:B,,0))</f>
        <v/>
      </c>
      <c r="H7" s="15" t="str">
        <f>IF(E7="","",_xlfn.XLOOKUP(E7,'Base de Dados'!I:I,'Base de Dados'!C:C,,0))</f>
        <v/>
      </c>
      <c r="I7" s="15" t="str">
        <f>IF(E7="","",_xlfn.XLOOKUP(E7,'Base de Dados'!I:I,'Base de Dados'!D:D,,0))</f>
        <v/>
      </c>
      <c r="J7" s="13" t="str">
        <f>IF(E7="","",_xlfn.XLOOKUP(E7,'Base de Dados'!I:I,'Base de Dados'!E:E,,0))</f>
        <v/>
      </c>
      <c r="K7" s="17"/>
      <c r="L7" s="18"/>
      <c r="M7" s="11"/>
      <c r="N7" s="11"/>
      <c r="O7" s="11"/>
      <c r="P7" s="11"/>
    </row>
    <row r="8" spans="2:16" x14ac:dyDescent="0.25">
      <c r="E8" s="13" t="str">
        <f>IF(E7="","",IF(E7+1&lt;=MAX('Base de Dados'!I:I),E7+1,""))</f>
        <v/>
      </c>
      <c r="F8" s="14" t="str">
        <f>IF(E8="","",_xlfn.XLOOKUP(E8,'Base de Dados'!I:I,'Base de Dados'!A:A,,0))</f>
        <v/>
      </c>
      <c r="G8" s="13" t="str">
        <f>IF(E8="","",_xlfn.XLOOKUP(E8,'Base de Dados'!I:I,'Base de Dados'!B:B,,0))</f>
        <v/>
      </c>
      <c r="H8" s="15" t="str">
        <f>IF(E8="","",_xlfn.XLOOKUP(E8,'Base de Dados'!I:I,'Base de Dados'!C:C,,0))</f>
        <v/>
      </c>
      <c r="I8" s="15" t="str">
        <f>IF(E8="","",_xlfn.XLOOKUP(E8,'Base de Dados'!I:I,'Base de Dados'!D:D,,0))</f>
        <v/>
      </c>
      <c r="J8" s="13" t="str">
        <f>IF(E8="","",_xlfn.XLOOKUP(E8,'Base de Dados'!I:I,'Base de Dados'!E:E,,0))</f>
        <v/>
      </c>
      <c r="K8" s="17"/>
      <c r="L8" s="18"/>
      <c r="M8" s="11"/>
      <c r="N8" s="11"/>
      <c r="O8" s="11"/>
      <c r="P8" s="11"/>
    </row>
    <row r="9" spans="2:16" x14ac:dyDescent="0.25">
      <c r="E9" s="13" t="str">
        <f>IF(E8="","",IF(E8+1&lt;=MAX('Base de Dados'!I:I),E8+1,""))</f>
        <v/>
      </c>
      <c r="F9" s="14" t="str">
        <f>IF(E9="","",_xlfn.XLOOKUP(E9,'Base de Dados'!I:I,'Base de Dados'!A:A,,0))</f>
        <v/>
      </c>
      <c r="G9" s="13" t="str">
        <f>IF(E9="","",_xlfn.XLOOKUP(E9,'Base de Dados'!I:I,'Base de Dados'!B:B,,0))</f>
        <v/>
      </c>
      <c r="H9" s="15" t="str">
        <f>IF(E9="","",_xlfn.XLOOKUP(E9,'Base de Dados'!I:I,'Base de Dados'!C:C,,0))</f>
        <v/>
      </c>
      <c r="I9" s="15" t="str">
        <f>IF(E9="","",_xlfn.XLOOKUP(E9,'Base de Dados'!I:I,'Base de Dados'!D:D,,0))</f>
        <v/>
      </c>
      <c r="J9" s="13" t="str">
        <f>IF(E9="","",_xlfn.XLOOKUP(E9,'Base de Dados'!I:I,'Base de Dados'!E:E,,0))</f>
        <v/>
      </c>
      <c r="K9" s="17"/>
      <c r="L9" s="18"/>
      <c r="M9" s="11"/>
      <c r="N9" s="11"/>
      <c r="O9" s="11"/>
      <c r="P9" s="11"/>
    </row>
    <row r="10" spans="2:16" x14ac:dyDescent="0.25">
      <c r="E10" s="13" t="str">
        <f>IF(E9="","",IF(E9+1&lt;=MAX('Base de Dados'!I:I),E9+1,""))</f>
        <v/>
      </c>
      <c r="F10" s="14" t="str">
        <f>IF(E10="","",_xlfn.XLOOKUP(E10,'Base de Dados'!I:I,'Base de Dados'!A:A,,0))</f>
        <v/>
      </c>
      <c r="G10" s="13" t="str">
        <f>IF(E10="","",_xlfn.XLOOKUP(E10,'Base de Dados'!I:I,'Base de Dados'!B:B,,0))</f>
        <v/>
      </c>
      <c r="H10" s="15" t="str">
        <f>IF(E10="","",_xlfn.XLOOKUP(E10,'Base de Dados'!I:I,'Base de Dados'!C:C,,0))</f>
        <v/>
      </c>
      <c r="I10" s="15" t="str">
        <f>IF(E10="","",_xlfn.XLOOKUP(E10,'Base de Dados'!I:I,'Base de Dados'!D:D,,0))</f>
        <v/>
      </c>
      <c r="J10" s="13" t="str">
        <f>IF(E10="","",_xlfn.XLOOKUP(E10,'Base de Dados'!I:I,'Base de Dados'!E:E,,0))</f>
        <v/>
      </c>
      <c r="K10" s="17"/>
      <c r="L10" s="18"/>
    </row>
    <row r="11" spans="2:16" x14ac:dyDescent="0.25">
      <c r="E11" s="13" t="str">
        <f>IF(E10="","",IF(E10+1&lt;=MAX('Base de Dados'!I:I),E10+1,""))</f>
        <v/>
      </c>
      <c r="F11" s="14" t="str">
        <f>IF(E11="","",_xlfn.XLOOKUP(E11,'Base de Dados'!I:I,'Base de Dados'!A:A,,0))</f>
        <v/>
      </c>
      <c r="G11" s="13" t="str">
        <f>IF(E11="","",_xlfn.XLOOKUP(E11,'Base de Dados'!I:I,'Base de Dados'!B:B,,0))</f>
        <v/>
      </c>
      <c r="H11" s="15" t="str">
        <f>IF(E11="","",_xlfn.XLOOKUP(E11,'Base de Dados'!I:I,'Base de Dados'!C:C,,0))</f>
        <v/>
      </c>
      <c r="I11" s="15" t="str">
        <f>IF(E11="","",_xlfn.XLOOKUP(E11,'Base de Dados'!I:I,'Base de Dados'!D:D,,0))</f>
        <v/>
      </c>
      <c r="J11" s="13" t="str">
        <f>IF(E11="","",_xlfn.XLOOKUP(E11,'Base de Dados'!I:I,'Base de Dados'!E:E,,0))</f>
        <v/>
      </c>
      <c r="K11" s="17"/>
      <c r="L11" s="18"/>
    </row>
    <row r="12" spans="2:16" x14ac:dyDescent="0.25">
      <c r="E12" s="13" t="str">
        <f>IF(E11="","",IF(E11+1&lt;=MAX('Base de Dados'!I:I),E11+1,""))</f>
        <v/>
      </c>
      <c r="F12" s="14" t="str">
        <f>IF(E12="","",_xlfn.XLOOKUP(E12,'Base de Dados'!I:I,'Base de Dados'!A:A,,0))</f>
        <v/>
      </c>
      <c r="G12" s="13" t="str">
        <f>IF(E12="","",_xlfn.XLOOKUP(E12,'Base de Dados'!I:I,'Base de Dados'!B:B,,0))</f>
        <v/>
      </c>
      <c r="H12" s="15" t="str">
        <f>IF(E12="","",_xlfn.XLOOKUP(E12,'Base de Dados'!I:I,'Base de Dados'!C:C,,0))</f>
        <v/>
      </c>
      <c r="I12" s="15" t="str">
        <f>IF(E12="","",_xlfn.XLOOKUP(E12,'Base de Dados'!I:I,'Base de Dados'!D:D,,0))</f>
        <v/>
      </c>
      <c r="J12" s="13" t="str">
        <f>IF(E12="","",_xlfn.XLOOKUP(E12,'Base de Dados'!I:I,'Base de Dados'!E:E,,0))</f>
        <v/>
      </c>
      <c r="K12" s="17"/>
      <c r="L12" s="18"/>
    </row>
    <row r="13" spans="2:16" x14ac:dyDescent="0.25">
      <c r="E13" s="13" t="str">
        <f>IF(E12="","",IF(E12+1&lt;=MAX('Base de Dados'!I:I),E12+1,""))</f>
        <v/>
      </c>
      <c r="F13" s="14" t="str">
        <f>IF(E13="","",_xlfn.XLOOKUP(E13,'Base de Dados'!I:I,'Base de Dados'!A:A,,0))</f>
        <v/>
      </c>
      <c r="G13" s="13" t="str">
        <f>IF(E13="","",_xlfn.XLOOKUP(E13,'Base de Dados'!I:I,'Base de Dados'!B:B,,0))</f>
        <v/>
      </c>
      <c r="H13" s="15" t="str">
        <f>IF(E13="","",_xlfn.XLOOKUP(E13,'Base de Dados'!I:I,'Base de Dados'!C:C,,0))</f>
        <v/>
      </c>
      <c r="I13" s="15" t="str">
        <f>IF(E13="","",_xlfn.XLOOKUP(E13,'Base de Dados'!I:I,'Base de Dados'!D:D,,0))</f>
        <v/>
      </c>
      <c r="J13" s="13" t="str">
        <f>IF(E13="","",_xlfn.XLOOKUP(E13,'Base de Dados'!I:I,'Base de Dados'!E:E,,0))</f>
        <v/>
      </c>
      <c r="K13" s="17"/>
      <c r="L13" s="18"/>
    </row>
    <row r="14" spans="2:16" x14ac:dyDescent="0.25">
      <c r="E14" s="13" t="str">
        <f>IF(E13="","",IF(E13+1&lt;=MAX('Base de Dados'!I:I),E13+1,""))</f>
        <v/>
      </c>
      <c r="F14" s="14" t="str">
        <f>IF(E14="","",_xlfn.XLOOKUP(E14,'Base de Dados'!I:I,'Base de Dados'!A:A,,0))</f>
        <v/>
      </c>
      <c r="G14" s="13" t="str">
        <f>IF(E14="","",_xlfn.XLOOKUP(E14,'Base de Dados'!I:I,'Base de Dados'!B:B,,0))</f>
        <v/>
      </c>
      <c r="H14" s="15" t="str">
        <f>IF(E14="","",_xlfn.XLOOKUP(E14,'Base de Dados'!I:I,'Base de Dados'!C:C,,0))</f>
        <v/>
      </c>
      <c r="I14" s="15" t="str">
        <f>IF(E14="","",_xlfn.XLOOKUP(E14,'Base de Dados'!I:I,'Base de Dados'!D:D,,0))</f>
        <v/>
      </c>
      <c r="J14" s="13" t="str">
        <f>IF(E14="","",_xlfn.XLOOKUP(E14,'Base de Dados'!I:I,'Base de Dados'!E:E,,0))</f>
        <v/>
      </c>
      <c r="K14" s="17"/>
      <c r="L14" s="18"/>
    </row>
    <row r="15" spans="2:16" x14ac:dyDescent="0.25">
      <c r="E15" s="13" t="str">
        <f>IF(E14="","",IF(E14+1&lt;=MAX('Base de Dados'!I:I),E14+1,""))</f>
        <v/>
      </c>
      <c r="F15" s="14" t="str">
        <f>IF(E15="","",_xlfn.XLOOKUP(E15,'Base de Dados'!I:I,'Base de Dados'!A:A,,0))</f>
        <v/>
      </c>
      <c r="G15" s="13" t="str">
        <f>IF(E15="","",_xlfn.XLOOKUP(E15,'Base de Dados'!I:I,'Base de Dados'!B:B,,0))</f>
        <v/>
      </c>
      <c r="H15" s="15" t="str">
        <f>IF(E15="","",_xlfn.XLOOKUP(E15,'Base de Dados'!I:I,'Base de Dados'!C:C,,0))</f>
        <v/>
      </c>
      <c r="I15" s="15" t="str">
        <f>IF(E15="","",_xlfn.XLOOKUP(E15,'Base de Dados'!I:I,'Base de Dados'!D:D,,0))</f>
        <v/>
      </c>
      <c r="J15" s="13" t="str">
        <f>IF(E15="","",_xlfn.XLOOKUP(E15,'Base de Dados'!I:I,'Base de Dados'!E:E,,0))</f>
        <v/>
      </c>
      <c r="K15" s="17"/>
      <c r="L15" s="18"/>
    </row>
    <row r="16" spans="2:16" x14ac:dyDescent="0.25">
      <c r="E16" s="13" t="str">
        <f>IF(E15="","",IF(E15+1&lt;=MAX('Base de Dados'!I:I),E15+1,""))</f>
        <v/>
      </c>
      <c r="F16" s="14" t="str">
        <f>IF(E16="","",_xlfn.XLOOKUP(E16,'Base de Dados'!I:I,'Base de Dados'!A:A,,0))</f>
        <v/>
      </c>
      <c r="G16" s="13" t="str">
        <f>IF(E16="","",_xlfn.XLOOKUP(E16,'Base de Dados'!I:I,'Base de Dados'!B:B,,0))</f>
        <v/>
      </c>
      <c r="H16" s="15" t="str">
        <f>IF(E16="","",_xlfn.XLOOKUP(E16,'Base de Dados'!I:I,'Base de Dados'!C:C,,0))</f>
        <v/>
      </c>
      <c r="I16" s="15" t="str">
        <f>IF(E16="","",_xlfn.XLOOKUP(E16,'Base de Dados'!I:I,'Base de Dados'!D:D,,0))</f>
        <v/>
      </c>
      <c r="J16" s="13" t="str">
        <f>IF(E16="","",_xlfn.XLOOKUP(E16,'Base de Dados'!I:I,'Base de Dados'!E:E,,0))</f>
        <v/>
      </c>
      <c r="K16" s="17"/>
      <c r="L16" s="18"/>
    </row>
    <row r="17" spans="5:12" x14ac:dyDescent="0.25">
      <c r="E17" s="13" t="str">
        <f>IF(E16="","",IF(E16+1&lt;=MAX('Base de Dados'!I:I),E16+1,""))</f>
        <v/>
      </c>
      <c r="F17" s="14" t="str">
        <f>IF(E17="","",_xlfn.XLOOKUP(E17,'Base de Dados'!I:I,'Base de Dados'!A:A,,0))</f>
        <v/>
      </c>
      <c r="G17" s="13" t="str">
        <f>IF(E17="","",_xlfn.XLOOKUP(E17,'Base de Dados'!I:I,'Base de Dados'!B:B,,0))</f>
        <v/>
      </c>
      <c r="H17" s="15" t="str">
        <f>IF(E17="","",_xlfn.XLOOKUP(E17,'Base de Dados'!I:I,'Base de Dados'!C:C,,0))</f>
        <v/>
      </c>
      <c r="I17" s="15" t="str">
        <f>IF(E17="","",_xlfn.XLOOKUP(E17,'Base de Dados'!I:I,'Base de Dados'!D:D,,0))</f>
        <v/>
      </c>
      <c r="J17" s="13" t="str">
        <f>IF(E17="","",_xlfn.XLOOKUP(E17,'Base de Dados'!I:I,'Base de Dados'!E:E,,0))</f>
        <v/>
      </c>
      <c r="K17" s="17"/>
      <c r="L17" s="18"/>
    </row>
    <row r="18" spans="5:12" x14ac:dyDescent="0.25">
      <c r="E18" s="13" t="str">
        <f>IF(E17="","",IF(E17+1&lt;=MAX('Base de Dados'!I:I),E17+1,""))</f>
        <v/>
      </c>
      <c r="F18" s="14" t="str">
        <f>IF(E18="","",_xlfn.XLOOKUP(E18,'Base de Dados'!I:I,'Base de Dados'!A:A,,0))</f>
        <v/>
      </c>
      <c r="G18" s="13" t="str">
        <f>IF(E18="","",_xlfn.XLOOKUP(E18,'Base de Dados'!I:I,'Base de Dados'!B:B,,0))</f>
        <v/>
      </c>
      <c r="H18" s="15" t="str">
        <f>IF(E18="","",_xlfn.XLOOKUP(E18,'Base de Dados'!I:I,'Base de Dados'!C:C,,0))</f>
        <v/>
      </c>
      <c r="I18" s="15" t="str">
        <f>IF(E18="","",_xlfn.XLOOKUP(E18,'Base de Dados'!I:I,'Base de Dados'!D:D,,0))</f>
        <v/>
      </c>
      <c r="J18" s="13" t="str">
        <f>IF(E18="","",_xlfn.XLOOKUP(E18,'Base de Dados'!I:I,'Base de Dados'!E:E,,0))</f>
        <v/>
      </c>
      <c r="K18" s="17"/>
      <c r="L18" s="18"/>
    </row>
    <row r="19" spans="5:12" x14ac:dyDescent="0.25">
      <c r="E19" s="13" t="str">
        <f>IF(E18="","",IF(E18+1&lt;=MAX('Base de Dados'!I:I),E18+1,""))</f>
        <v/>
      </c>
      <c r="F19" s="14" t="str">
        <f>IF(E19="","",_xlfn.XLOOKUP(E19,'Base de Dados'!I:I,'Base de Dados'!A:A,,0))</f>
        <v/>
      </c>
      <c r="G19" s="13" t="str">
        <f>IF(E19="","",_xlfn.XLOOKUP(E19,'Base de Dados'!I:I,'Base de Dados'!B:B,,0))</f>
        <v/>
      </c>
      <c r="H19" s="15" t="str">
        <f>IF(E19="","",_xlfn.XLOOKUP(E19,'Base de Dados'!I:I,'Base de Dados'!C:C,,0))</f>
        <v/>
      </c>
      <c r="I19" s="15" t="str">
        <f>IF(E19="","",_xlfn.XLOOKUP(E19,'Base de Dados'!I:I,'Base de Dados'!D:D,,0))</f>
        <v/>
      </c>
      <c r="J19" s="13" t="str">
        <f>IF(E19="","",_xlfn.XLOOKUP(E19,'Base de Dados'!I:I,'Base de Dados'!E:E,,0))</f>
        <v/>
      </c>
      <c r="K19" s="17"/>
      <c r="L19" s="18"/>
    </row>
    <row r="20" spans="5:12" x14ac:dyDescent="0.25">
      <c r="E20" s="13" t="str">
        <f>IF(E19="","",IF(E19+1&lt;=MAX('Base de Dados'!I:I),E19+1,""))</f>
        <v/>
      </c>
      <c r="F20" s="14" t="str">
        <f>IF(E20="","",_xlfn.XLOOKUP(E20,'Base de Dados'!I:I,'Base de Dados'!A:A,,0))</f>
        <v/>
      </c>
      <c r="G20" s="13" t="str">
        <f>IF(E20="","",_xlfn.XLOOKUP(E20,'Base de Dados'!I:I,'Base de Dados'!B:B,,0))</f>
        <v/>
      </c>
      <c r="H20" s="15" t="str">
        <f>IF(E20="","",_xlfn.XLOOKUP(E20,'Base de Dados'!I:I,'Base de Dados'!C:C,,0))</f>
        <v/>
      </c>
      <c r="I20" s="15" t="str">
        <f>IF(E20="","",_xlfn.XLOOKUP(E20,'Base de Dados'!I:I,'Base de Dados'!D:D,,0))</f>
        <v/>
      </c>
      <c r="J20" s="13" t="str">
        <f>IF(E20="","",_xlfn.XLOOKUP(E20,'Base de Dados'!I:I,'Base de Dados'!E:E,,0))</f>
        <v/>
      </c>
      <c r="K20" s="17"/>
      <c r="L20" s="18"/>
    </row>
    <row r="21" spans="5:12" x14ac:dyDescent="0.25">
      <c r="E21" s="13" t="str">
        <f>IF(E20="","",IF(E20+1&lt;=MAX('Base de Dados'!I:I),E20+1,""))</f>
        <v/>
      </c>
      <c r="F21" s="14" t="str">
        <f>IF(E21="","",_xlfn.XLOOKUP(E21,'Base de Dados'!I:I,'Base de Dados'!A:A,,0))</f>
        <v/>
      </c>
      <c r="G21" s="13" t="str">
        <f>IF(E21="","",_xlfn.XLOOKUP(E21,'Base de Dados'!I:I,'Base de Dados'!B:B,,0))</f>
        <v/>
      </c>
      <c r="H21" s="15" t="str">
        <f>IF(E21="","",_xlfn.XLOOKUP(E21,'Base de Dados'!I:I,'Base de Dados'!C:C,,0))</f>
        <v/>
      </c>
      <c r="I21" s="15" t="str">
        <f>IF(E21="","",_xlfn.XLOOKUP(E21,'Base de Dados'!I:I,'Base de Dados'!D:D,,0))</f>
        <v/>
      </c>
      <c r="J21" s="13" t="str">
        <f>IF(E21="","",_xlfn.XLOOKUP(E21,'Base de Dados'!I:I,'Base de Dados'!E:E,,0))</f>
        <v/>
      </c>
      <c r="K21" s="17"/>
      <c r="L21" s="18"/>
    </row>
    <row r="22" spans="5:12" x14ac:dyDescent="0.25">
      <c r="E22" s="13" t="str">
        <f>IF(E21="","",IF(E21+1&lt;=MAX('Base de Dados'!I:I),E21+1,""))</f>
        <v/>
      </c>
      <c r="F22" s="14" t="str">
        <f>IF(E22="","",_xlfn.XLOOKUP(E22,'Base de Dados'!I:I,'Base de Dados'!A:A,,0))</f>
        <v/>
      </c>
      <c r="G22" s="13" t="str">
        <f>IF(E22="","",_xlfn.XLOOKUP(E22,'Base de Dados'!I:I,'Base de Dados'!B:B,,0))</f>
        <v/>
      </c>
      <c r="H22" s="15" t="str">
        <f>IF(E22="","",_xlfn.XLOOKUP(E22,'Base de Dados'!I:I,'Base de Dados'!C:C,,0))</f>
        <v/>
      </c>
      <c r="I22" s="15" t="str">
        <f>IF(E22="","",_xlfn.XLOOKUP(E22,'Base de Dados'!I:I,'Base de Dados'!D:D,,0))</f>
        <v/>
      </c>
      <c r="J22" s="13" t="str">
        <f>IF(E22="","",_xlfn.XLOOKUP(E22,'Base de Dados'!I:I,'Base de Dados'!E:E,,0))</f>
        <v/>
      </c>
      <c r="K22" s="17"/>
      <c r="L22" s="18"/>
    </row>
    <row r="23" spans="5:12" x14ac:dyDescent="0.25">
      <c r="E23" s="13" t="str">
        <f>IF(E22="","",IF(E22+1&lt;=MAX('Base de Dados'!I:I),E22+1,""))</f>
        <v/>
      </c>
      <c r="F23" s="14" t="str">
        <f>IF(E23="","",_xlfn.XLOOKUP(E23,'Base de Dados'!I:I,'Base de Dados'!A:A,,0))</f>
        <v/>
      </c>
      <c r="G23" s="13" t="str">
        <f>IF(E23="","",_xlfn.XLOOKUP(E23,'Base de Dados'!I:I,'Base de Dados'!B:B,,0))</f>
        <v/>
      </c>
      <c r="H23" s="15" t="str">
        <f>IF(E23="","",_xlfn.XLOOKUP(E23,'Base de Dados'!I:I,'Base de Dados'!C:C,,0))</f>
        <v/>
      </c>
      <c r="I23" s="15" t="str">
        <f>IF(E23="","",_xlfn.XLOOKUP(E23,'Base de Dados'!I:I,'Base de Dados'!D:D,,0))</f>
        <v/>
      </c>
      <c r="J23" s="13" t="str">
        <f>IF(E23="","",_xlfn.XLOOKUP(E23,'Base de Dados'!I:I,'Base de Dados'!E:E,,0))</f>
        <v/>
      </c>
      <c r="K23" s="17"/>
      <c r="L23" s="18"/>
    </row>
    <row r="24" spans="5:12" x14ac:dyDescent="0.25">
      <c r="E24" s="13" t="str">
        <f>IF(E23="","",IF(E23+1&lt;=MAX('Base de Dados'!I:I),E23+1,""))</f>
        <v/>
      </c>
      <c r="F24" s="14" t="str">
        <f>IF(E24="","",_xlfn.XLOOKUP(E24,'Base de Dados'!I:I,'Base de Dados'!A:A,,0))</f>
        <v/>
      </c>
      <c r="G24" s="13" t="str">
        <f>IF(E24="","",_xlfn.XLOOKUP(E24,'Base de Dados'!I:I,'Base de Dados'!B:B,,0))</f>
        <v/>
      </c>
      <c r="H24" s="15" t="str">
        <f>IF(E24="","",_xlfn.XLOOKUP(E24,'Base de Dados'!I:I,'Base de Dados'!C:C,,0))</f>
        <v/>
      </c>
      <c r="I24" s="15" t="str">
        <f>IF(E24="","",_xlfn.XLOOKUP(E24,'Base de Dados'!I:I,'Base de Dados'!D:D,,0))</f>
        <v/>
      </c>
      <c r="J24" s="13" t="str">
        <f>IF(E24="","",_xlfn.XLOOKUP(E24,'Base de Dados'!I:I,'Base de Dados'!E:E,,0))</f>
        <v/>
      </c>
      <c r="K24" s="17"/>
      <c r="L24" s="18"/>
    </row>
    <row r="25" spans="5:12" x14ac:dyDescent="0.25">
      <c r="E25" s="13" t="str">
        <f>IF(E24="","",IF(E24+1&lt;=MAX('Base de Dados'!I:I),E24+1,""))</f>
        <v/>
      </c>
      <c r="F25" s="14" t="str">
        <f>IF(E25="","",_xlfn.XLOOKUP(E25,'Base de Dados'!I:I,'Base de Dados'!A:A,,0))</f>
        <v/>
      </c>
      <c r="G25" s="13" t="str">
        <f>IF(E25="","",_xlfn.XLOOKUP(E25,'Base de Dados'!I:I,'Base de Dados'!B:B,,0))</f>
        <v/>
      </c>
      <c r="H25" s="15" t="str">
        <f>IF(E25="","",_xlfn.XLOOKUP(E25,'Base de Dados'!I:I,'Base de Dados'!C:C,,0))</f>
        <v/>
      </c>
      <c r="I25" s="15" t="str">
        <f>IF(E25="","",_xlfn.XLOOKUP(E25,'Base de Dados'!I:I,'Base de Dados'!D:D,,0))</f>
        <v/>
      </c>
      <c r="J25" s="13" t="str">
        <f>IF(E25="","",_xlfn.XLOOKUP(E25,'Base de Dados'!I:I,'Base de Dados'!E:E,,0))</f>
        <v/>
      </c>
      <c r="K25" s="17"/>
      <c r="L25" s="18"/>
    </row>
    <row r="26" spans="5:12" x14ac:dyDescent="0.25">
      <c r="E26" s="13" t="str">
        <f>IF(E25="","",IF(E25+1&lt;=MAX('Base de Dados'!I:I),E25+1,""))</f>
        <v/>
      </c>
      <c r="F26" s="14" t="str">
        <f>IF(E26="","",_xlfn.XLOOKUP(E26,'Base de Dados'!I:I,'Base de Dados'!A:A,,0))</f>
        <v/>
      </c>
      <c r="G26" s="13" t="str">
        <f>IF(E26="","",_xlfn.XLOOKUP(E26,'Base de Dados'!I:I,'Base de Dados'!B:B,,0))</f>
        <v/>
      </c>
      <c r="H26" s="15" t="str">
        <f>IF(E26="","",_xlfn.XLOOKUP(E26,'Base de Dados'!I:I,'Base de Dados'!C:C,,0))</f>
        <v/>
      </c>
      <c r="I26" s="15" t="str">
        <f>IF(E26="","",_xlfn.XLOOKUP(E26,'Base de Dados'!I:I,'Base de Dados'!D:D,,0))</f>
        <v/>
      </c>
      <c r="J26" s="13" t="str">
        <f>IF(E26="","",_xlfn.XLOOKUP(E26,'Base de Dados'!I:I,'Base de Dados'!E:E,,0))</f>
        <v/>
      </c>
      <c r="K26" s="17"/>
      <c r="L26" s="18"/>
    </row>
    <row r="27" spans="5:12" x14ac:dyDescent="0.25">
      <c r="E27" s="13" t="str">
        <f>IF(E26="","",IF(E26+1&lt;=MAX('Base de Dados'!I:I),E26+1,""))</f>
        <v/>
      </c>
      <c r="F27" s="14" t="str">
        <f>IF(E27="","",_xlfn.XLOOKUP(E27,'Base de Dados'!I:I,'Base de Dados'!A:A,,0))</f>
        <v/>
      </c>
      <c r="G27" s="13" t="str">
        <f>IF(E27="","",_xlfn.XLOOKUP(E27,'Base de Dados'!I:I,'Base de Dados'!B:B,,0))</f>
        <v/>
      </c>
      <c r="H27" s="15" t="str">
        <f>IF(E27="","",_xlfn.XLOOKUP(E27,'Base de Dados'!I:I,'Base de Dados'!C:C,,0))</f>
        <v/>
      </c>
      <c r="I27" s="15" t="str">
        <f>IF(E27="","",_xlfn.XLOOKUP(E27,'Base de Dados'!I:I,'Base de Dados'!D:D,,0))</f>
        <v/>
      </c>
      <c r="J27" s="13" t="str">
        <f>IF(E27="","",_xlfn.XLOOKUP(E27,'Base de Dados'!I:I,'Base de Dados'!E:E,,0))</f>
        <v/>
      </c>
      <c r="K27" s="17"/>
      <c r="L27" s="18"/>
    </row>
    <row r="28" spans="5:12" x14ac:dyDescent="0.25">
      <c r="E28" s="13" t="str">
        <f>IF(E27="","",IF(E27+1&lt;=MAX('Base de Dados'!I:I),E27+1,""))</f>
        <v/>
      </c>
      <c r="F28" s="14" t="str">
        <f>IF(E28="","",_xlfn.XLOOKUP(E28,'Base de Dados'!I:I,'Base de Dados'!A:A,,0))</f>
        <v/>
      </c>
      <c r="G28" s="13" t="str">
        <f>IF(E28="","",_xlfn.XLOOKUP(E28,'Base de Dados'!I:I,'Base de Dados'!B:B,,0))</f>
        <v/>
      </c>
      <c r="H28" s="15" t="str">
        <f>IF(E28="","",_xlfn.XLOOKUP(E28,'Base de Dados'!I:I,'Base de Dados'!C:C,,0))</f>
        <v/>
      </c>
      <c r="I28" s="15" t="str">
        <f>IF(E28="","",_xlfn.XLOOKUP(E28,'Base de Dados'!I:I,'Base de Dados'!D:D,,0))</f>
        <v/>
      </c>
      <c r="J28" s="13" t="str">
        <f>IF(E28="","",_xlfn.XLOOKUP(E28,'Base de Dados'!I:I,'Base de Dados'!E:E,,0))</f>
        <v/>
      </c>
      <c r="K28" s="17"/>
      <c r="L28" s="18"/>
    </row>
    <row r="29" spans="5:12" x14ac:dyDescent="0.25">
      <c r="E29" s="13" t="str">
        <f>IF(E28="","",IF(E28+1&lt;=MAX('Base de Dados'!I:I),E28+1,""))</f>
        <v/>
      </c>
      <c r="F29" s="14" t="str">
        <f>IF(E29="","",_xlfn.XLOOKUP(E29,'Base de Dados'!I:I,'Base de Dados'!A:A,,0))</f>
        <v/>
      </c>
      <c r="G29" s="13" t="str">
        <f>IF(E29="","",_xlfn.XLOOKUP(E29,'Base de Dados'!I:I,'Base de Dados'!B:B,,0))</f>
        <v/>
      </c>
      <c r="H29" s="15" t="str">
        <f>IF(E29="","",_xlfn.XLOOKUP(E29,'Base de Dados'!I:I,'Base de Dados'!C:C,,0))</f>
        <v/>
      </c>
      <c r="I29" s="15" t="str">
        <f>IF(E29="","",_xlfn.XLOOKUP(E29,'Base de Dados'!I:I,'Base de Dados'!D:D,,0))</f>
        <v/>
      </c>
      <c r="J29" s="13" t="str">
        <f>IF(E29="","",_xlfn.XLOOKUP(E29,'Base de Dados'!I:I,'Base de Dados'!E:E,,0))</f>
        <v/>
      </c>
      <c r="K29" s="17"/>
      <c r="L29" s="18"/>
    </row>
    <row r="30" spans="5:12" x14ac:dyDescent="0.25">
      <c r="E30" s="13" t="str">
        <f>IF(E29="","",IF(E29+1&lt;=MAX('Base de Dados'!I:I),E29+1,""))</f>
        <v/>
      </c>
      <c r="F30" s="14" t="str">
        <f>IF(E30="","",_xlfn.XLOOKUP(E30,'Base de Dados'!I:I,'Base de Dados'!A:A,,0))</f>
        <v/>
      </c>
      <c r="G30" s="13" t="str">
        <f>IF(E30="","",_xlfn.XLOOKUP(E30,'Base de Dados'!I:I,'Base de Dados'!B:B,,0))</f>
        <v/>
      </c>
      <c r="H30" s="15" t="str">
        <f>IF(E30="","",_xlfn.XLOOKUP(E30,'Base de Dados'!I:I,'Base de Dados'!C:C,,0))</f>
        <v/>
      </c>
      <c r="I30" s="15" t="str">
        <f>IF(E30="","",_xlfn.XLOOKUP(E30,'Base de Dados'!I:I,'Base de Dados'!D:D,,0))</f>
        <v/>
      </c>
      <c r="J30" s="13" t="str">
        <f>IF(E30="","",_xlfn.XLOOKUP(E30,'Base de Dados'!I:I,'Base de Dados'!E:E,,0))</f>
        <v/>
      </c>
      <c r="K30" s="17"/>
      <c r="L30" s="18"/>
    </row>
    <row r="31" spans="5:12" x14ac:dyDescent="0.25">
      <c r="E31" s="13" t="str">
        <f>IF(E30="","",IF(E30+1&lt;=MAX('Base de Dados'!I:I),E30+1,""))</f>
        <v/>
      </c>
      <c r="F31" s="14" t="str">
        <f>IF(E31="","",_xlfn.XLOOKUP(E31,'Base de Dados'!I:I,'Base de Dados'!A:A,,0))</f>
        <v/>
      </c>
      <c r="G31" s="13" t="str">
        <f>IF(E31="","",_xlfn.XLOOKUP(E31,'Base de Dados'!I:I,'Base de Dados'!B:B,,0))</f>
        <v/>
      </c>
      <c r="H31" s="15" t="str">
        <f>IF(E31="","",_xlfn.XLOOKUP(E31,'Base de Dados'!I:I,'Base de Dados'!C:C,,0))</f>
        <v/>
      </c>
      <c r="I31" s="15" t="str">
        <f>IF(E31="","",_xlfn.XLOOKUP(E31,'Base de Dados'!I:I,'Base de Dados'!D:D,,0))</f>
        <v/>
      </c>
      <c r="J31" s="13" t="str">
        <f>IF(E31="","",_xlfn.XLOOKUP(E31,'Base de Dados'!I:I,'Base de Dados'!E:E,,0))</f>
        <v/>
      </c>
      <c r="K31" s="17"/>
      <c r="L31" s="18"/>
    </row>
    <row r="32" spans="5:12" x14ac:dyDescent="0.25">
      <c r="E32" s="13" t="str">
        <f>IF(E31="","",IF(E31+1&lt;=MAX('Base de Dados'!I:I),E31+1,""))</f>
        <v/>
      </c>
      <c r="F32" s="14" t="str">
        <f>IF(E32="","",_xlfn.XLOOKUP(E32,'Base de Dados'!I:I,'Base de Dados'!A:A,,0))</f>
        <v/>
      </c>
      <c r="G32" s="13" t="str">
        <f>IF(E32="","",_xlfn.XLOOKUP(E32,'Base de Dados'!I:I,'Base de Dados'!B:B,,0))</f>
        <v/>
      </c>
      <c r="H32" s="15" t="str">
        <f>IF(E32="","",_xlfn.XLOOKUP(E32,'Base de Dados'!I:I,'Base de Dados'!C:C,,0))</f>
        <v/>
      </c>
      <c r="I32" s="15" t="str">
        <f>IF(E32="","",_xlfn.XLOOKUP(E32,'Base de Dados'!I:I,'Base de Dados'!D:D,,0))</f>
        <v/>
      </c>
      <c r="J32" s="13" t="str">
        <f>IF(E32="","",_xlfn.XLOOKUP(E32,'Base de Dados'!I:I,'Base de Dados'!E:E,,0))</f>
        <v/>
      </c>
      <c r="K32" s="17"/>
      <c r="L32" s="18"/>
    </row>
    <row r="33" spans="5:12" x14ac:dyDescent="0.25">
      <c r="E33" s="13" t="str">
        <f>IF(E32="","",IF(E32+1&lt;=MAX('Base de Dados'!I:I),E32+1,""))</f>
        <v/>
      </c>
      <c r="F33" s="14" t="str">
        <f>IF(E33="","",_xlfn.XLOOKUP(E33,'Base de Dados'!I:I,'Base de Dados'!A:A,,0))</f>
        <v/>
      </c>
      <c r="G33" s="13" t="str">
        <f>IF(E33="","",_xlfn.XLOOKUP(E33,'Base de Dados'!I:I,'Base de Dados'!B:B,,0))</f>
        <v/>
      </c>
      <c r="H33" s="15" t="str">
        <f>IF(E33="","",_xlfn.XLOOKUP(E33,'Base de Dados'!I:I,'Base de Dados'!C:C,,0))</f>
        <v/>
      </c>
      <c r="I33" s="15" t="str">
        <f>IF(E33="","",_xlfn.XLOOKUP(E33,'Base de Dados'!I:I,'Base de Dados'!D:D,,0))</f>
        <v/>
      </c>
      <c r="J33" s="13" t="str">
        <f>IF(E33="","",_xlfn.XLOOKUP(E33,'Base de Dados'!I:I,'Base de Dados'!E:E,,0))</f>
        <v/>
      </c>
      <c r="K33" s="17"/>
      <c r="L33" s="18"/>
    </row>
    <row r="34" spans="5:12" x14ac:dyDescent="0.25">
      <c r="E34" s="13" t="str">
        <f>IF(E33="","",IF(E33+1&lt;=MAX('Base de Dados'!I:I),E33+1,""))</f>
        <v/>
      </c>
      <c r="F34" s="14" t="str">
        <f>IF(E34="","",_xlfn.XLOOKUP(E34,'Base de Dados'!I:I,'Base de Dados'!A:A,,0))</f>
        <v/>
      </c>
      <c r="G34" s="13" t="str">
        <f>IF(E34="","",_xlfn.XLOOKUP(E34,'Base de Dados'!I:I,'Base de Dados'!B:B,,0))</f>
        <v/>
      </c>
      <c r="H34" s="15" t="str">
        <f>IF(E34="","",_xlfn.XLOOKUP(E34,'Base de Dados'!I:I,'Base de Dados'!C:C,,0))</f>
        <v/>
      </c>
      <c r="I34" s="15" t="str">
        <f>IF(E34="","",_xlfn.XLOOKUP(E34,'Base de Dados'!I:I,'Base de Dados'!D:D,,0))</f>
        <v/>
      </c>
      <c r="J34" s="13" t="str">
        <f>IF(E34="","",_xlfn.XLOOKUP(E34,'Base de Dados'!I:I,'Base de Dados'!E:E,,0))</f>
        <v/>
      </c>
      <c r="K34" s="17"/>
      <c r="L34" s="18"/>
    </row>
    <row r="35" spans="5:12" x14ac:dyDescent="0.25">
      <c r="E35" s="13" t="str">
        <f>IF(E34="","",IF(E34+1&lt;=MAX('Base de Dados'!I:I),E34+1,""))</f>
        <v/>
      </c>
      <c r="F35" s="14" t="str">
        <f>IF(E35="","",_xlfn.XLOOKUP(E35,'Base de Dados'!I:I,'Base de Dados'!A:A,,0))</f>
        <v/>
      </c>
      <c r="G35" s="13" t="str">
        <f>IF(E35="","",_xlfn.XLOOKUP(E35,'Base de Dados'!I:I,'Base de Dados'!B:B,,0))</f>
        <v/>
      </c>
      <c r="H35" s="15" t="str">
        <f>IF(E35="","",_xlfn.XLOOKUP(E35,'Base de Dados'!I:I,'Base de Dados'!C:C,,0))</f>
        <v/>
      </c>
      <c r="I35" s="15" t="str">
        <f>IF(E35="","",_xlfn.XLOOKUP(E35,'Base de Dados'!I:I,'Base de Dados'!D:D,,0))</f>
        <v/>
      </c>
      <c r="J35" s="13" t="str">
        <f>IF(E35="","",_xlfn.XLOOKUP(E35,'Base de Dados'!I:I,'Base de Dados'!E:E,,0))</f>
        <v/>
      </c>
      <c r="K35" s="17"/>
      <c r="L35" s="18"/>
    </row>
    <row r="36" spans="5:12" x14ac:dyDescent="0.25">
      <c r="E36" s="13" t="str">
        <f>IF(E35="","",IF(E35+1&lt;=MAX('Base de Dados'!I:I),E35+1,""))</f>
        <v/>
      </c>
      <c r="F36" s="14" t="str">
        <f>IF(E36="","",_xlfn.XLOOKUP(E36,'Base de Dados'!I:I,'Base de Dados'!A:A,,0))</f>
        <v/>
      </c>
      <c r="G36" s="13" t="str">
        <f>IF(E36="","",_xlfn.XLOOKUP(E36,'Base de Dados'!I:I,'Base de Dados'!B:B,,0))</f>
        <v/>
      </c>
      <c r="H36" s="15" t="str">
        <f>IF(E36="","",_xlfn.XLOOKUP(E36,'Base de Dados'!I:I,'Base de Dados'!C:C,,0))</f>
        <v/>
      </c>
      <c r="I36" s="15" t="str">
        <f>IF(E36="","",_xlfn.XLOOKUP(E36,'Base de Dados'!I:I,'Base de Dados'!D:D,,0))</f>
        <v/>
      </c>
      <c r="J36" s="13" t="str">
        <f>IF(E36="","",_xlfn.XLOOKUP(E36,'Base de Dados'!I:I,'Base de Dados'!E:E,,0))</f>
        <v/>
      </c>
      <c r="K36" s="17"/>
      <c r="L36" s="18"/>
    </row>
    <row r="37" spans="5:12" x14ac:dyDescent="0.25">
      <c r="E37" s="13" t="str">
        <f>IF(E36="","",IF(E36+1&lt;=MAX('Base de Dados'!I:I),E36+1,""))</f>
        <v/>
      </c>
      <c r="F37" s="14" t="str">
        <f>IF(E37="","",_xlfn.XLOOKUP(E37,'Base de Dados'!I:I,'Base de Dados'!A:A,,0))</f>
        <v/>
      </c>
      <c r="G37" s="13" t="str">
        <f>IF(E37="","",_xlfn.XLOOKUP(E37,'Base de Dados'!I:I,'Base de Dados'!B:B,,0))</f>
        <v/>
      </c>
      <c r="H37" s="15" t="str">
        <f>IF(E37="","",_xlfn.XLOOKUP(E37,'Base de Dados'!I:I,'Base de Dados'!C:C,,0))</f>
        <v/>
      </c>
      <c r="I37" s="15" t="str">
        <f>IF(E37="","",_xlfn.XLOOKUP(E37,'Base de Dados'!I:I,'Base de Dados'!D:D,,0))</f>
        <v/>
      </c>
      <c r="J37" s="13" t="str">
        <f>IF(E37="","",_xlfn.XLOOKUP(E37,'Base de Dados'!I:I,'Base de Dados'!E:E,,0))</f>
        <v/>
      </c>
      <c r="K37" s="17"/>
      <c r="L37" s="18"/>
    </row>
    <row r="38" spans="5:12" x14ac:dyDescent="0.25">
      <c r="E38" s="13" t="str">
        <f>IF(E37="","",IF(E37+1&lt;=MAX('Base de Dados'!I:I),E37+1,""))</f>
        <v/>
      </c>
      <c r="F38" s="14" t="str">
        <f>IF(E38="","",_xlfn.XLOOKUP(E38,'Base de Dados'!I:I,'Base de Dados'!A:A,,0))</f>
        <v/>
      </c>
      <c r="G38" s="13" t="str">
        <f>IF(E38="","",_xlfn.XLOOKUP(E38,'Base de Dados'!I:I,'Base de Dados'!B:B,,0))</f>
        <v/>
      </c>
      <c r="H38" s="15" t="str">
        <f>IF(E38="","",_xlfn.XLOOKUP(E38,'Base de Dados'!I:I,'Base de Dados'!C:C,,0))</f>
        <v/>
      </c>
      <c r="I38" s="15" t="str">
        <f>IF(E38="","",_xlfn.XLOOKUP(E38,'Base de Dados'!I:I,'Base de Dados'!D:D,,0))</f>
        <v/>
      </c>
      <c r="J38" s="13" t="str">
        <f>IF(E38="","",_xlfn.XLOOKUP(E38,'Base de Dados'!I:I,'Base de Dados'!E:E,,0))</f>
        <v/>
      </c>
      <c r="K38" s="17"/>
      <c r="L38" s="18"/>
    </row>
    <row r="39" spans="5:12" x14ac:dyDescent="0.25">
      <c r="E39" s="13" t="str">
        <f>IF(E38="","",IF(E38+1&lt;=MAX('Base de Dados'!I:I),E38+1,""))</f>
        <v/>
      </c>
      <c r="F39" s="14" t="str">
        <f>IF(E39="","",_xlfn.XLOOKUP(E39,'Base de Dados'!I:I,'Base de Dados'!A:A,,0))</f>
        <v/>
      </c>
      <c r="G39" s="13" t="str">
        <f>IF(E39="","",_xlfn.XLOOKUP(E39,'Base de Dados'!I:I,'Base de Dados'!B:B,,0))</f>
        <v/>
      </c>
      <c r="H39" s="15" t="str">
        <f>IF(E39="","",_xlfn.XLOOKUP(E39,'Base de Dados'!I:I,'Base de Dados'!C:C,,0))</f>
        <v/>
      </c>
      <c r="I39" s="15" t="str">
        <f>IF(E39="","",_xlfn.XLOOKUP(E39,'Base de Dados'!I:I,'Base de Dados'!D:D,,0))</f>
        <v/>
      </c>
      <c r="J39" s="13" t="str">
        <f>IF(E39="","",_xlfn.XLOOKUP(E39,'Base de Dados'!I:I,'Base de Dados'!E:E,,0))</f>
        <v/>
      </c>
      <c r="K39" s="17"/>
      <c r="L39" s="18"/>
    </row>
    <row r="40" spans="5:12" x14ac:dyDescent="0.25">
      <c r="E40" s="13" t="str">
        <f>IF(E39="","",IF(E39+1&lt;=MAX('Base de Dados'!I:I),E39+1,""))</f>
        <v/>
      </c>
      <c r="F40" s="14" t="str">
        <f>IF(E40="","",_xlfn.XLOOKUP(E40,'Base de Dados'!I:I,'Base de Dados'!A:A,,0))</f>
        <v/>
      </c>
      <c r="G40" s="13" t="str">
        <f>IF(E40="","",_xlfn.XLOOKUP(E40,'Base de Dados'!I:I,'Base de Dados'!B:B,,0))</f>
        <v/>
      </c>
      <c r="H40" s="15" t="str">
        <f>IF(E40="","",_xlfn.XLOOKUP(E40,'Base de Dados'!I:I,'Base de Dados'!C:C,,0))</f>
        <v/>
      </c>
      <c r="I40" s="15" t="str">
        <f>IF(E40="","",_xlfn.XLOOKUP(E40,'Base de Dados'!I:I,'Base de Dados'!D:D,,0))</f>
        <v/>
      </c>
      <c r="J40" s="13" t="str">
        <f>IF(E40="","",_xlfn.XLOOKUP(E40,'Base de Dados'!I:I,'Base de Dados'!E:E,,0))</f>
        <v/>
      </c>
      <c r="K40" s="17"/>
      <c r="L40" s="18"/>
    </row>
    <row r="41" spans="5:12" x14ac:dyDescent="0.25">
      <c r="E41" s="13" t="str">
        <f>IF(E40="","",IF(E40+1&lt;=MAX('Base de Dados'!I:I),E40+1,""))</f>
        <v/>
      </c>
      <c r="F41" s="14" t="str">
        <f>IF(E41="","",_xlfn.XLOOKUP(E41,'Base de Dados'!I:I,'Base de Dados'!A:A,,0))</f>
        <v/>
      </c>
      <c r="G41" s="13" t="str">
        <f>IF(E41="","",_xlfn.XLOOKUP(E41,'Base de Dados'!I:I,'Base de Dados'!B:B,,0))</f>
        <v/>
      </c>
      <c r="H41" s="15" t="str">
        <f>IF(E41="","",_xlfn.XLOOKUP(E41,'Base de Dados'!I:I,'Base de Dados'!C:C,,0))</f>
        <v/>
      </c>
      <c r="I41" s="15" t="str">
        <f>IF(E41="","",_xlfn.XLOOKUP(E41,'Base de Dados'!I:I,'Base de Dados'!D:D,,0))</f>
        <v/>
      </c>
      <c r="J41" s="13" t="str">
        <f>IF(E41="","",_xlfn.XLOOKUP(E41,'Base de Dados'!I:I,'Base de Dados'!E:E,,0))</f>
        <v/>
      </c>
      <c r="K41" s="17"/>
      <c r="L41" s="18"/>
    </row>
    <row r="42" spans="5:12" x14ac:dyDescent="0.25">
      <c r="E42" s="13" t="str">
        <f>IF(E41="","",IF(E41+1&lt;=MAX('Base de Dados'!I:I),E41+1,""))</f>
        <v/>
      </c>
      <c r="F42" s="14" t="str">
        <f>IF(E42="","",_xlfn.XLOOKUP(E42,'Base de Dados'!I:I,'Base de Dados'!A:A,,0))</f>
        <v/>
      </c>
      <c r="G42" s="13" t="str">
        <f>IF(E42="","",_xlfn.XLOOKUP(E42,'Base de Dados'!I:I,'Base de Dados'!B:B,,0))</f>
        <v/>
      </c>
      <c r="H42" s="15" t="str">
        <f>IF(E42="","",_xlfn.XLOOKUP(E42,'Base de Dados'!I:I,'Base de Dados'!C:C,,0))</f>
        <v/>
      </c>
      <c r="I42" s="15" t="str">
        <f>IF(E42="","",_xlfn.XLOOKUP(E42,'Base de Dados'!I:I,'Base de Dados'!D:D,,0))</f>
        <v/>
      </c>
      <c r="J42" s="13" t="str">
        <f>IF(E42="","",_xlfn.XLOOKUP(E42,'Base de Dados'!I:I,'Base de Dados'!E:E,,0))</f>
        <v/>
      </c>
      <c r="K42" s="17"/>
      <c r="L42" s="18"/>
    </row>
    <row r="43" spans="5:12" x14ac:dyDescent="0.25">
      <c r="E43" s="13" t="str">
        <f>IF(E42="","",IF(E42+1&lt;=MAX('Base de Dados'!I:I),E42+1,""))</f>
        <v/>
      </c>
      <c r="F43" s="14" t="str">
        <f>IF(E43="","",_xlfn.XLOOKUP(E43,'Base de Dados'!I:I,'Base de Dados'!A:A,,0))</f>
        <v/>
      </c>
      <c r="G43" s="13" t="str">
        <f>IF(E43="","",_xlfn.XLOOKUP(E43,'Base de Dados'!I:I,'Base de Dados'!B:B,,0))</f>
        <v/>
      </c>
      <c r="H43" s="15" t="str">
        <f>IF(E43="","",_xlfn.XLOOKUP(E43,'Base de Dados'!I:I,'Base de Dados'!C:C,,0))</f>
        <v/>
      </c>
      <c r="I43" s="15" t="str">
        <f>IF(E43="","",_xlfn.XLOOKUP(E43,'Base de Dados'!I:I,'Base de Dados'!D:D,,0))</f>
        <v/>
      </c>
      <c r="J43" s="13" t="str">
        <f>IF(E43="","",_xlfn.XLOOKUP(E43,'Base de Dados'!I:I,'Base de Dados'!E:E,,0))</f>
        <v/>
      </c>
      <c r="K43" s="17"/>
      <c r="L43" s="18"/>
    </row>
    <row r="44" spans="5:12" x14ac:dyDescent="0.25">
      <c r="E44" s="13" t="str">
        <f>IF(E43="","",IF(E43+1&lt;=MAX('Base de Dados'!I:I),E43+1,""))</f>
        <v/>
      </c>
      <c r="F44" s="14" t="str">
        <f>IF(E44="","",_xlfn.XLOOKUP(E44,'Base de Dados'!I:I,'Base de Dados'!A:A,,0))</f>
        <v/>
      </c>
      <c r="G44" s="13" t="str">
        <f>IF(E44="","",_xlfn.XLOOKUP(E44,'Base de Dados'!I:I,'Base de Dados'!B:B,,0))</f>
        <v/>
      </c>
      <c r="H44" s="15" t="str">
        <f>IF(E44="","",_xlfn.XLOOKUP(E44,'Base de Dados'!I:I,'Base de Dados'!C:C,,0))</f>
        <v/>
      </c>
      <c r="I44" s="15" t="str">
        <f>IF(E44="","",_xlfn.XLOOKUP(E44,'Base de Dados'!I:I,'Base de Dados'!D:D,,0))</f>
        <v/>
      </c>
      <c r="J44" s="13" t="str">
        <f>IF(E44="","",_xlfn.XLOOKUP(E44,'Base de Dados'!I:I,'Base de Dados'!E:E,,0))</f>
        <v/>
      </c>
      <c r="K44" s="17"/>
      <c r="L44" s="18"/>
    </row>
    <row r="45" spans="5:12" x14ac:dyDescent="0.25">
      <c r="E45" s="13" t="str">
        <f>IF(E44="","",IF(E44+1&lt;=MAX('Base de Dados'!I:I),E44+1,""))</f>
        <v/>
      </c>
      <c r="F45" s="14" t="str">
        <f>IF(E45="","",_xlfn.XLOOKUP(E45,'Base de Dados'!I:I,'Base de Dados'!A:A,,0))</f>
        <v/>
      </c>
      <c r="G45" s="13" t="str">
        <f>IF(E45="","",_xlfn.XLOOKUP(E45,'Base de Dados'!I:I,'Base de Dados'!B:B,,0))</f>
        <v/>
      </c>
      <c r="H45" s="15" t="str">
        <f>IF(E45="","",_xlfn.XLOOKUP(E45,'Base de Dados'!I:I,'Base de Dados'!C:C,,0))</f>
        <v/>
      </c>
      <c r="I45" s="15" t="str">
        <f>IF(E45="","",_xlfn.XLOOKUP(E45,'Base de Dados'!I:I,'Base de Dados'!D:D,,0))</f>
        <v/>
      </c>
      <c r="J45" s="13" t="str">
        <f>IF(E45="","",_xlfn.XLOOKUP(E45,'Base de Dados'!I:I,'Base de Dados'!E:E,,0))</f>
        <v/>
      </c>
      <c r="K45" s="17"/>
      <c r="L45" s="18"/>
    </row>
    <row r="46" spans="5:12" x14ac:dyDescent="0.25">
      <c r="E46" s="13" t="str">
        <f>IF(E45="","",IF(E45+1&lt;=MAX('Base de Dados'!I:I),E45+1,""))</f>
        <v/>
      </c>
      <c r="F46" s="14" t="str">
        <f>IF(E46="","",_xlfn.XLOOKUP(E46,'Base de Dados'!I:I,'Base de Dados'!A:A,,0))</f>
        <v/>
      </c>
      <c r="G46" s="13" t="str">
        <f>IF(E46="","",_xlfn.XLOOKUP(E46,'Base de Dados'!I:I,'Base de Dados'!B:B,,0))</f>
        <v/>
      </c>
      <c r="H46" s="15" t="str">
        <f>IF(E46="","",_xlfn.XLOOKUP(E46,'Base de Dados'!I:I,'Base de Dados'!C:C,,0))</f>
        <v/>
      </c>
      <c r="I46" s="15" t="str">
        <f>IF(E46="","",_xlfn.XLOOKUP(E46,'Base de Dados'!I:I,'Base de Dados'!D:D,,0))</f>
        <v/>
      </c>
      <c r="J46" s="13" t="str">
        <f>IF(E46="","",_xlfn.XLOOKUP(E46,'Base de Dados'!I:I,'Base de Dados'!E:E,,0))</f>
        <v/>
      </c>
      <c r="K46" s="17"/>
      <c r="L46" s="18"/>
    </row>
    <row r="47" spans="5:12" x14ac:dyDescent="0.25">
      <c r="E47" s="13" t="str">
        <f>IF(E46="","",IF(E46+1&lt;=MAX('Base de Dados'!I:I),E46+1,""))</f>
        <v/>
      </c>
      <c r="F47" s="14" t="str">
        <f>IF(E47="","",_xlfn.XLOOKUP(E47,'Base de Dados'!I:I,'Base de Dados'!A:A,,0))</f>
        <v/>
      </c>
      <c r="G47" s="13" t="str">
        <f>IF(E47="","",_xlfn.XLOOKUP(E47,'Base de Dados'!I:I,'Base de Dados'!B:B,,0))</f>
        <v/>
      </c>
      <c r="H47" s="15" t="str">
        <f>IF(E47="","",_xlfn.XLOOKUP(E47,'Base de Dados'!I:I,'Base de Dados'!C:C,,0))</f>
        <v/>
      </c>
      <c r="I47" s="15" t="str">
        <f>IF(E47="","",_xlfn.XLOOKUP(E47,'Base de Dados'!I:I,'Base de Dados'!D:D,,0))</f>
        <v/>
      </c>
      <c r="J47" s="13" t="str">
        <f>IF(E47="","",_xlfn.XLOOKUP(E47,'Base de Dados'!I:I,'Base de Dados'!E:E,,0))</f>
        <v/>
      </c>
      <c r="K47" s="17"/>
      <c r="L47" s="18"/>
    </row>
    <row r="48" spans="5:12" x14ac:dyDescent="0.25">
      <c r="E48" s="13" t="str">
        <f>IF(E47="","",IF(E47+1&lt;=MAX('Base de Dados'!I:I),E47+1,""))</f>
        <v/>
      </c>
      <c r="F48" s="14" t="str">
        <f>IF(E48="","",_xlfn.XLOOKUP(E48,'Base de Dados'!I:I,'Base de Dados'!A:A,,0))</f>
        <v/>
      </c>
      <c r="G48" s="13" t="str">
        <f>IF(E48="","",_xlfn.XLOOKUP(E48,'Base de Dados'!I:I,'Base de Dados'!B:B,,0))</f>
        <v/>
      </c>
      <c r="H48" s="15" t="str">
        <f>IF(E48="","",_xlfn.XLOOKUP(E48,'Base de Dados'!I:I,'Base de Dados'!C:C,,0))</f>
        <v/>
      </c>
      <c r="I48" s="15" t="str">
        <f>IF(E48="","",_xlfn.XLOOKUP(E48,'Base de Dados'!I:I,'Base de Dados'!D:D,,0))</f>
        <v/>
      </c>
      <c r="J48" s="13" t="str">
        <f>IF(E48="","",_xlfn.XLOOKUP(E48,'Base de Dados'!I:I,'Base de Dados'!E:E,,0))</f>
        <v/>
      </c>
      <c r="K48" s="17"/>
      <c r="L48" s="18"/>
    </row>
    <row r="49" spans="5:12" x14ac:dyDescent="0.25">
      <c r="E49" s="13" t="str">
        <f>IF(E48="","",IF(E48+1&lt;=MAX('Base de Dados'!I:I),E48+1,""))</f>
        <v/>
      </c>
      <c r="F49" s="14" t="str">
        <f>IF(E49="","",_xlfn.XLOOKUP(E49,'Base de Dados'!I:I,'Base de Dados'!A:A,,0))</f>
        <v/>
      </c>
      <c r="G49" s="13" t="str">
        <f>IF(E49="","",_xlfn.XLOOKUP(E49,'Base de Dados'!I:I,'Base de Dados'!B:B,,0))</f>
        <v/>
      </c>
      <c r="H49" s="15" t="str">
        <f>IF(E49="","",_xlfn.XLOOKUP(E49,'Base de Dados'!I:I,'Base de Dados'!C:C,,0))</f>
        <v/>
      </c>
      <c r="I49" s="15" t="str">
        <f>IF(E49="","",_xlfn.XLOOKUP(E49,'Base de Dados'!I:I,'Base de Dados'!D:D,,0))</f>
        <v/>
      </c>
      <c r="J49" s="13" t="str">
        <f>IF(E49="","",_xlfn.XLOOKUP(E49,'Base de Dados'!I:I,'Base de Dados'!E:E,,0))</f>
        <v/>
      </c>
      <c r="K49" s="17"/>
      <c r="L49" s="18"/>
    </row>
    <row r="50" spans="5:12" x14ac:dyDescent="0.25">
      <c r="E50" s="13" t="str">
        <f>IF(E49="","",IF(E49+1&lt;=MAX('Base de Dados'!I:I),E49+1,""))</f>
        <v/>
      </c>
      <c r="F50" s="14" t="str">
        <f>IF(E50="","",_xlfn.XLOOKUP(E50,'Base de Dados'!I:I,'Base de Dados'!A:A,,0))</f>
        <v/>
      </c>
      <c r="G50" s="13" t="str">
        <f>IF(E50="","",_xlfn.XLOOKUP(E50,'Base de Dados'!I:I,'Base de Dados'!B:B,,0))</f>
        <v/>
      </c>
      <c r="H50" s="15" t="str">
        <f>IF(E50="","",_xlfn.XLOOKUP(E50,'Base de Dados'!I:I,'Base de Dados'!C:C,,0))</f>
        <v/>
      </c>
      <c r="I50" s="15" t="str">
        <f>IF(E50="","",_xlfn.XLOOKUP(E50,'Base de Dados'!I:I,'Base de Dados'!D:D,,0))</f>
        <v/>
      </c>
      <c r="J50" s="13" t="str">
        <f>IF(E50="","",_xlfn.XLOOKUP(E50,'Base de Dados'!I:I,'Base de Dados'!E:E,,0))</f>
        <v/>
      </c>
      <c r="K50" s="17"/>
      <c r="L50" s="18"/>
    </row>
    <row r="51" spans="5:12" x14ac:dyDescent="0.25">
      <c r="E51" s="13" t="str">
        <f>IF(E50="","",IF(E50+1&lt;=MAX('Base de Dados'!I:I),E50+1,""))</f>
        <v/>
      </c>
      <c r="F51" s="14" t="str">
        <f>IF(E51="","",_xlfn.XLOOKUP(E51,'Base de Dados'!I:I,'Base de Dados'!A:A,,0))</f>
        <v/>
      </c>
    </row>
  </sheetData>
  <sheetProtection algorithmName="SHA-512" hashValue="FlqUFSbaVv0dGRlPOINZEywz8B5DEtC4Lj7/FR7UbipEfzWdkPacYkJt4F+M/N9v9rYeMNU3Ntxh8CKUv7T23g==" saltValue="cdzcq2iJBraiXKPkBTb70w==" spinCount="100000" sheet="1" objects="1" scenarios="1" selectLockedCells="1"/>
  <mergeCells count="2">
    <mergeCell ref="B2:C2"/>
    <mergeCell ref="M2:P9"/>
  </mergeCells>
  <dataValidations count="2">
    <dataValidation type="date" allowBlank="1" showInputMessage="1" showErrorMessage="1" sqref="C3" xr:uid="{A6B7EB52-5BE0-4155-B6CC-C0D9145F93A9}">
      <formula1>44562</formula1>
      <formula2>117610</formula2>
    </dataValidation>
    <dataValidation type="time" allowBlank="1" showInputMessage="1" showErrorMessage="1" sqref="C5:C6" xr:uid="{11320A9E-015C-4B7F-B80B-F29773C8E070}">
      <formula1>0</formula1>
      <formula2>0.999305555555556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D0FB70-D612-4A91-8B7F-BB033538CE19}">
          <x14:formula1>
            <xm:f>'Base de Dados'!$K$2:$K$7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FFFC5-E5F2-4C14-8F9E-EE9952437E86}">
  <sheetPr codeName="Planilha2"/>
  <dimension ref="A1:M1000"/>
  <sheetViews>
    <sheetView showGridLines="0" workbookViewId="0">
      <selection activeCell="K1" sqref="K1"/>
    </sheetView>
  </sheetViews>
  <sheetFormatPr defaultRowHeight="15" x14ac:dyDescent="0.25"/>
  <cols>
    <col min="1" max="1" width="10.7109375" style="30" bestFit="1" customWidth="1"/>
    <col min="2" max="2" width="12.5703125" style="31" customWidth="1"/>
    <col min="3" max="3" width="12.5703125" style="32" customWidth="1"/>
    <col min="4" max="4" width="10.7109375" style="32" customWidth="1"/>
    <col min="5" max="5" width="24.7109375" style="31" customWidth="1"/>
    <col min="6" max="6" width="20.140625" style="19" bestFit="1" customWidth="1"/>
    <col min="7" max="7" width="17" style="19" customWidth="1"/>
    <col min="8" max="8" width="18.140625" style="19" customWidth="1"/>
    <col min="9" max="9" width="11.28515625" style="6" customWidth="1"/>
    <col min="10" max="10" width="9.140625" style="6"/>
    <col min="11" max="11" width="16.5703125" style="34" bestFit="1" customWidth="1"/>
    <col min="12" max="16384" width="9.140625" style="6"/>
  </cols>
  <sheetData>
    <row r="1" spans="1:13" x14ac:dyDescent="0.25">
      <c r="A1" s="22" t="s">
        <v>0</v>
      </c>
      <c r="B1" s="23" t="s">
        <v>1</v>
      </c>
      <c r="C1" s="24" t="s">
        <v>11</v>
      </c>
      <c r="D1" s="24" t="s">
        <v>13</v>
      </c>
      <c r="E1" s="23" t="s">
        <v>2</v>
      </c>
      <c r="F1" s="25" t="s">
        <v>15</v>
      </c>
      <c r="G1" s="25" t="s">
        <v>14</v>
      </c>
      <c r="H1" s="25" t="s">
        <v>16</v>
      </c>
      <c r="I1" s="25" t="s">
        <v>17</v>
      </c>
      <c r="K1" s="33" t="s">
        <v>3</v>
      </c>
    </row>
    <row r="2" spans="1:13" x14ac:dyDescent="0.25">
      <c r="A2" s="27">
        <v>44726</v>
      </c>
      <c r="B2" s="28" t="s">
        <v>10</v>
      </c>
      <c r="C2" s="29">
        <v>0.4375</v>
      </c>
      <c r="D2" s="29">
        <v>0.44791666666666669</v>
      </c>
      <c r="E2" s="28" t="s">
        <v>8</v>
      </c>
      <c r="F2" s="13" t="str">
        <f>IF(A2="","",IF(A2=Agendamento!$C$3,"x",""))</f>
        <v>x</v>
      </c>
      <c r="G2" s="13" t="str">
        <f>IF(A2="","",IF(E2=Agendamento!$C$7,"x",""))</f>
        <v/>
      </c>
      <c r="H2" s="13" t="str">
        <f>IF(A2="","",IF(AND(Agendamento!$C$3="",Agendamento!$C$7&lt;&gt;""),IF(Agendamento!$C$7='Base de Dados'!E2,"x",""),IF(AND(Agendamento!$C$3&lt;&gt;"",Agendamento!$C$7=""),IF(Agendamento!$C$3='Base de Dados'!A2,"x",""),IF(AND(Agendamento!$C$3='Base de Dados'!A2,'Base de Dados'!E2=Agendamento!$C$7),"x",""))))</f>
        <v>x</v>
      </c>
      <c r="I2" s="13">
        <f>IF(H2="x",COUNT($I$1:I1)+1,"")</f>
        <v>1</v>
      </c>
      <c r="K2" s="34" t="s">
        <v>4</v>
      </c>
      <c r="M2" s="26"/>
    </row>
    <row r="3" spans="1:13" x14ac:dyDescent="0.25">
      <c r="A3" s="27">
        <v>44726</v>
      </c>
      <c r="B3" s="28" t="s">
        <v>10</v>
      </c>
      <c r="C3" s="29">
        <v>0.4375</v>
      </c>
      <c r="D3" s="29">
        <v>0.44791666666666669</v>
      </c>
      <c r="E3" s="28" t="s">
        <v>9</v>
      </c>
      <c r="F3" s="13" t="str">
        <f>IF(A3="","",IF(A3=Agendamento!$C$3,"x",""))</f>
        <v>x</v>
      </c>
      <c r="G3" s="13" t="str">
        <f>IF(A3="","",IF(E3=Agendamento!$C$7,"x",""))</f>
        <v/>
      </c>
      <c r="H3" s="13" t="str">
        <f>IF(A3="","",IF(AND(Agendamento!$C$3="",Agendamento!$C$7&lt;&gt;""),IF(Agendamento!$C$7='Base de Dados'!E3,"x",""),IF(AND(Agendamento!$C$3&lt;&gt;"",Agendamento!$C$7=""),IF(Agendamento!$C$3='Base de Dados'!A3,"x",""),IF(AND(Agendamento!$C$3='Base de Dados'!A3,'Base de Dados'!E3=Agendamento!$C$7),"x",""))))</f>
        <v>x</v>
      </c>
      <c r="I3" s="13">
        <f>IF(H3="x",COUNT($I$1:I2)+1,"")</f>
        <v>2</v>
      </c>
      <c r="K3" s="34" t="s">
        <v>7</v>
      </c>
      <c r="M3" s="26"/>
    </row>
    <row r="4" spans="1:13" x14ac:dyDescent="0.25">
      <c r="A4" s="27">
        <v>44726</v>
      </c>
      <c r="B4" s="28" t="s">
        <v>20</v>
      </c>
      <c r="C4" s="29">
        <v>0.4375</v>
      </c>
      <c r="D4" s="29">
        <v>0.44791666666666669</v>
      </c>
      <c r="E4" s="28" t="s">
        <v>7</v>
      </c>
      <c r="F4" s="13" t="str">
        <f>IF(A4="","",IF(A4=Agendamento!$C$3,"x",""))</f>
        <v>x</v>
      </c>
      <c r="G4" s="13" t="str">
        <f>IF(A4="","",IF(E4=Agendamento!$C$7,"x",""))</f>
        <v/>
      </c>
      <c r="H4" s="13" t="str">
        <f>IF(A4="","",IF(AND(Agendamento!$C$3="",Agendamento!$C$7&lt;&gt;""),IF(Agendamento!$C$7='Base de Dados'!E4,"x",""),IF(AND(Agendamento!$C$3&lt;&gt;"",Agendamento!$C$7=""),IF(Agendamento!$C$3='Base de Dados'!A4,"x",""),IF(AND(Agendamento!$C$3='Base de Dados'!A4,'Base de Dados'!E4=Agendamento!$C$7),"x",""))))</f>
        <v>x</v>
      </c>
      <c r="I4" s="13">
        <f>IF(H4="x",COUNT($I$1:I3)+1,"")</f>
        <v>3</v>
      </c>
      <c r="K4" s="34" t="s">
        <v>5</v>
      </c>
      <c r="M4" s="26"/>
    </row>
    <row r="5" spans="1:13" x14ac:dyDescent="0.25">
      <c r="A5" s="27"/>
      <c r="B5" s="28"/>
      <c r="C5" s="29"/>
      <c r="D5" s="29"/>
      <c r="E5" s="28"/>
      <c r="F5" s="13" t="str">
        <f>IF(A5="","",IF(A5=Agendamento!$C$3,"x",""))</f>
        <v/>
      </c>
      <c r="G5" s="13" t="str">
        <f>IF(A5="","",IF(E5=Agendamento!$C$7,"x",""))</f>
        <v/>
      </c>
      <c r="H5" s="13" t="str">
        <f>IF(A5="","",IF(AND(Agendamento!$C$3="",Agendamento!$C$7&lt;&gt;""),IF(Agendamento!$C$7='Base de Dados'!E5,"x",""),IF(AND(Agendamento!$C$3&lt;&gt;"",Agendamento!$C$7=""),IF(Agendamento!$C$3='Base de Dados'!A5,"x",""),IF(AND(Agendamento!$C$3='Base de Dados'!A5,'Base de Dados'!E5=Agendamento!$C$7),"x",""))))</f>
        <v/>
      </c>
      <c r="I5" s="13" t="str">
        <f>IF(H5="x",COUNT($I$1:I4)+1,"")</f>
        <v/>
      </c>
      <c r="K5" s="34" t="s">
        <v>6</v>
      </c>
      <c r="M5" s="26"/>
    </row>
    <row r="6" spans="1:13" x14ac:dyDescent="0.25">
      <c r="A6" s="27"/>
      <c r="B6" s="28"/>
      <c r="C6" s="29"/>
      <c r="D6" s="29"/>
      <c r="E6" s="28"/>
      <c r="F6" s="13" t="str">
        <f>IF(A6="","",IF(A6=Agendamento!$C$3,"x",""))</f>
        <v/>
      </c>
      <c r="G6" s="13" t="str">
        <f>IF(A6="","",IF(E6=Agendamento!$C$7,"x",""))</f>
        <v/>
      </c>
      <c r="H6" s="13" t="str">
        <f>IF(A6="","",IF(AND(Agendamento!$C$3="",Agendamento!$C$7&lt;&gt;""),IF(Agendamento!$C$7='Base de Dados'!E6,"x",""),IF(AND(Agendamento!$C$3&lt;&gt;"",Agendamento!$C$7=""),IF(Agendamento!$C$3='Base de Dados'!A6,"x",""),IF(AND(Agendamento!$C$3='Base de Dados'!A6,'Base de Dados'!E6=Agendamento!$C$7),"x",""))))</f>
        <v/>
      </c>
      <c r="I6" s="13" t="str">
        <f>IF(H6="x",COUNT($I$1:I5)+1,"")</f>
        <v/>
      </c>
      <c r="K6" s="34" t="s">
        <v>8</v>
      </c>
      <c r="M6" s="26"/>
    </row>
    <row r="7" spans="1:13" x14ac:dyDescent="0.25">
      <c r="A7" s="27"/>
      <c r="B7" s="28"/>
      <c r="C7" s="29"/>
      <c r="D7" s="29"/>
      <c r="E7" s="28"/>
      <c r="F7" s="13" t="str">
        <f>IF(A7="","",IF(A7=Agendamento!$C$3,"x",""))</f>
        <v/>
      </c>
      <c r="G7" s="13" t="str">
        <f>IF(A7="","",IF(E7=Agendamento!$C$7,"x",""))</f>
        <v/>
      </c>
      <c r="H7" s="13" t="str">
        <f>IF(A7="","",IF(AND(Agendamento!$C$3="",Agendamento!$C$7&lt;&gt;""),IF(Agendamento!$C$7='Base de Dados'!E7,"x",""),IF(AND(Agendamento!$C$3&lt;&gt;"",Agendamento!$C$7=""),IF(Agendamento!$C$3='Base de Dados'!A7,"x",""),IF(AND(Agendamento!$C$3='Base de Dados'!A7,'Base de Dados'!E7=Agendamento!$C$7),"x",""))))</f>
        <v/>
      </c>
      <c r="I7" s="13" t="str">
        <f>IF(H7="x",COUNT($I$1:I6)+1,"")</f>
        <v/>
      </c>
      <c r="K7" s="34" t="s">
        <v>9</v>
      </c>
      <c r="M7" s="26"/>
    </row>
    <row r="8" spans="1:13" x14ac:dyDescent="0.25">
      <c r="A8" s="27"/>
      <c r="B8" s="28"/>
      <c r="C8" s="29"/>
      <c r="D8" s="29"/>
      <c r="E8" s="28"/>
      <c r="F8" s="13" t="str">
        <f>IF(A8="","",IF(A8=Agendamento!$C$3,"x",""))</f>
        <v/>
      </c>
      <c r="G8" s="13" t="str">
        <f>IF(A8="","",IF(E8=Agendamento!$C$7,"x",""))</f>
        <v/>
      </c>
      <c r="H8" s="13" t="str">
        <f>IF(A8="","",IF(AND(Agendamento!$C$3="",Agendamento!$C$7&lt;&gt;""),IF(Agendamento!$C$7='Base de Dados'!E8,"x",""),IF(AND(Agendamento!$C$3&lt;&gt;"",Agendamento!$C$7=""),IF(Agendamento!$C$3='Base de Dados'!A8,"x",""),IF(AND(Agendamento!$C$3='Base de Dados'!A8,'Base de Dados'!E8=Agendamento!$C$7),"x",""))))</f>
        <v/>
      </c>
      <c r="I8" s="13" t="str">
        <f>IF(H8="x",COUNT($I$1:I7)+1,"")</f>
        <v/>
      </c>
      <c r="M8" s="26"/>
    </row>
    <row r="9" spans="1:13" x14ac:dyDescent="0.25">
      <c r="A9" s="27"/>
      <c r="B9" s="28"/>
      <c r="C9" s="29"/>
      <c r="D9" s="29"/>
      <c r="E9" s="28"/>
      <c r="F9" s="13" t="str">
        <f>IF(A9="","",IF(A9=Agendamento!$C$3,"x",""))</f>
        <v/>
      </c>
      <c r="G9" s="13" t="str">
        <f>IF(A9="","",IF(E9=Agendamento!$C$7,"x",""))</f>
        <v/>
      </c>
      <c r="H9" s="13" t="str">
        <f>IF(A9="","",IF(AND(Agendamento!$C$3="",Agendamento!$C$7&lt;&gt;""),IF(Agendamento!$C$7='Base de Dados'!E9,"x",""),IF(AND(Agendamento!$C$3&lt;&gt;"",Agendamento!$C$7=""),IF(Agendamento!$C$3='Base de Dados'!A9,"x",""),IF(AND(Agendamento!$C$3='Base de Dados'!A9,'Base de Dados'!E9=Agendamento!$C$7),"x",""))))</f>
        <v/>
      </c>
      <c r="I9" s="13" t="str">
        <f>IF(H9="x",COUNT($I$1:I8)+1,"")</f>
        <v/>
      </c>
      <c r="M9" s="26"/>
    </row>
    <row r="10" spans="1:13" x14ac:dyDescent="0.25">
      <c r="A10" s="27"/>
      <c r="B10" s="28"/>
      <c r="C10" s="29"/>
      <c r="D10" s="29"/>
      <c r="E10" s="28"/>
      <c r="F10" s="13" t="str">
        <f>IF(A10="","",IF(A10=Agendamento!$C$3,"x",""))</f>
        <v/>
      </c>
      <c r="G10" s="13" t="str">
        <f>IF(A10="","",IF(E10=Agendamento!$C$7,"x",""))</f>
        <v/>
      </c>
      <c r="H10" s="13" t="str">
        <f>IF(A10="","",IF(AND(Agendamento!$C$3="",Agendamento!$C$7&lt;&gt;""),IF(Agendamento!$C$7='Base de Dados'!E10,"x",""),IF(AND(Agendamento!$C$3&lt;&gt;"",Agendamento!$C$7=""),IF(Agendamento!$C$3='Base de Dados'!A10,"x",""),IF(AND(Agendamento!$C$3='Base de Dados'!A10,'Base de Dados'!E10=Agendamento!$C$7),"x",""))))</f>
        <v/>
      </c>
      <c r="I10" s="13" t="str">
        <f>IF(H10="x",COUNT($I$1:I9)+1,"")</f>
        <v/>
      </c>
      <c r="M10" s="26"/>
    </row>
    <row r="11" spans="1:13" x14ac:dyDescent="0.25">
      <c r="A11" s="27"/>
      <c r="B11" s="28"/>
      <c r="C11" s="29"/>
      <c r="D11" s="29"/>
      <c r="E11" s="28"/>
      <c r="F11" s="13" t="str">
        <f>IF(A11="","",IF(A11=Agendamento!$C$3,"x",""))</f>
        <v/>
      </c>
      <c r="G11" s="13" t="str">
        <f>IF(A11="","",IF(E11=Agendamento!$C$7,"x",""))</f>
        <v/>
      </c>
      <c r="H11" s="13" t="str">
        <f>IF(A11="","",IF(AND(Agendamento!$C$3="",Agendamento!$C$7&lt;&gt;""),IF(Agendamento!$C$7='Base de Dados'!E11,"x",""),IF(AND(Agendamento!$C$3&lt;&gt;"",Agendamento!$C$7=""),IF(Agendamento!$C$3='Base de Dados'!A11,"x",""),IF(AND(Agendamento!$C$3='Base de Dados'!A11,'Base de Dados'!E11=Agendamento!$C$7),"x",""))))</f>
        <v/>
      </c>
      <c r="I11" s="13" t="str">
        <f>IF(H11="x",COUNT($I$1:I10)+1,"")</f>
        <v/>
      </c>
      <c r="M11" s="26"/>
    </row>
    <row r="12" spans="1:13" x14ac:dyDescent="0.25">
      <c r="A12" s="27"/>
      <c r="B12" s="28"/>
      <c r="C12" s="29"/>
      <c r="D12" s="29"/>
      <c r="E12" s="28"/>
      <c r="F12" s="13" t="str">
        <f>IF(A12="","",IF(A12=Agendamento!$C$3,"x",""))</f>
        <v/>
      </c>
      <c r="G12" s="13" t="str">
        <f>IF(A12="","",IF(E12=Agendamento!$C$7,"x",""))</f>
        <v/>
      </c>
      <c r="H12" s="13" t="str">
        <f>IF(A12="","",IF(AND(Agendamento!$C$3="",Agendamento!$C$7&lt;&gt;""),IF(Agendamento!$C$7='Base de Dados'!E12,"x",""),IF(AND(Agendamento!$C$3&lt;&gt;"",Agendamento!$C$7=""),IF(Agendamento!$C$3='Base de Dados'!A12,"x",""),IF(AND(Agendamento!$C$3='Base de Dados'!A12,'Base de Dados'!E12=Agendamento!$C$7),"x",""))))</f>
        <v/>
      </c>
      <c r="I12" s="13" t="str">
        <f>IF(H12="x",COUNT($I$1:I11)+1,"")</f>
        <v/>
      </c>
      <c r="M12" s="26"/>
    </row>
    <row r="13" spans="1:13" x14ac:dyDescent="0.25">
      <c r="A13" s="27"/>
      <c r="B13" s="28"/>
      <c r="C13" s="29"/>
      <c r="D13" s="29"/>
      <c r="E13" s="28"/>
      <c r="F13" s="13" t="str">
        <f>IF(A13="","",IF(A13=Agendamento!$C$3,"x",""))</f>
        <v/>
      </c>
      <c r="G13" s="13" t="str">
        <f>IF(A13="","",IF(E13=Agendamento!$C$7,"x",""))</f>
        <v/>
      </c>
      <c r="H13" s="13" t="str">
        <f>IF(A13="","",IF(AND(Agendamento!$C$3="",Agendamento!$C$7&lt;&gt;""),IF(Agendamento!$C$7='Base de Dados'!E13,"x",""),IF(AND(Agendamento!$C$3&lt;&gt;"",Agendamento!$C$7=""),IF(Agendamento!$C$3='Base de Dados'!A13,"x",""),IF(AND(Agendamento!$C$3='Base de Dados'!A13,'Base de Dados'!E13=Agendamento!$C$7),"x",""))))</f>
        <v/>
      </c>
      <c r="I13" s="13" t="str">
        <f>IF(H13="x",COUNT($I$1:I12)+1,"")</f>
        <v/>
      </c>
      <c r="M13" s="26"/>
    </row>
    <row r="14" spans="1:13" x14ac:dyDescent="0.25">
      <c r="A14" s="27"/>
      <c r="B14" s="28"/>
      <c r="C14" s="29"/>
      <c r="D14" s="29"/>
      <c r="E14" s="28"/>
      <c r="F14" s="13" t="str">
        <f>IF(A14="","",IF(A14=Agendamento!$C$3,"x",""))</f>
        <v/>
      </c>
      <c r="G14" s="13" t="str">
        <f>IF(A14="","",IF(E14=Agendamento!$C$7,"x",""))</f>
        <v/>
      </c>
      <c r="H14" s="13" t="str">
        <f>IF(A14="","",IF(AND(Agendamento!$C$3="",Agendamento!$C$7&lt;&gt;""),IF(Agendamento!$C$7='Base de Dados'!E14,"x",""),IF(AND(Agendamento!$C$3&lt;&gt;"",Agendamento!$C$7=""),IF(Agendamento!$C$3='Base de Dados'!A14,"x",""),IF(AND(Agendamento!$C$3='Base de Dados'!A14,'Base de Dados'!E14=Agendamento!$C$7),"x",""))))</f>
        <v/>
      </c>
      <c r="I14" s="13" t="str">
        <f>IF(H14="x",COUNT($I$1:I13)+1,"")</f>
        <v/>
      </c>
      <c r="M14" s="26"/>
    </row>
    <row r="15" spans="1:13" x14ac:dyDescent="0.25">
      <c r="A15" s="27"/>
      <c r="B15" s="28"/>
      <c r="C15" s="29"/>
      <c r="D15" s="29"/>
      <c r="E15" s="28"/>
      <c r="F15" s="13" t="str">
        <f>IF(A15="","",IF(A15=Agendamento!$C$3,"x",""))</f>
        <v/>
      </c>
      <c r="G15" s="13" t="str">
        <f>IF(A15="","",IF(E15=Agendamento!$C$7,"x",""))</f>
        <v/>
      </c>
      <c r="H15" s="13" t="str">
        <f>IF(A15="","",IF(AND(Agendamento!$C$3="",Agendamento!$C$7&lt;&gt;""),IF(Agendamento!$C$7='Base de Dados'!E15,"x",""),IF(AND(Agendamento!$C$3&lt;&gt;"",Agendamento!$C$7=""),IF(Agendamento!$C$3='Base de Dados'!A15,"x",""),IF(AND(Agendamento!$C$3='Base de Dados'!A15,'Base de Dados'!E15=Agendamento!$C$7),"x",""))))</f>
        <v/>
      </c>
      <c r="I15" s="13" t="str">
        <f>IF(H15="x",COUNT($I$1:I14)+1,"")</f>
        <v/>
      </c>
      <c r="M15" s="26"/>
    </row>
    <row r="16" spans="1:13" x14ac:dyDescent="0.25">
      <c r="A16" s="27"/>
      <c r="B16" s="28"/>
      <c r="C16" s="29"/>
      <c r="D16" s="29"/>
      <c r="E16" s="28"/>
      <c r="F16" s="13" t="str">
        <f>IF(A16="","",IF(A16=Agendamento!$C$3,"x",""))</f>
        <v/>
      </c>
      <c r="G16" s="13" t="str">
        <f>IF(A16="","",IF(E16=Agendamento!$C$7,"x",""))</f>
        <v/>
      </c>
      <c r="H16" s="13" t="str">
        <f>IF(A16="","",IF(AND(Agendamento!$C$3="",Agendamento!$C$7&lt;&gt;""),IF(Agendamento!$C$7='Base de Dados'!E16,"x",""),IF(AND(Agendamento!$C$3&lt;&gt;"",Agendamento!$C$7=""),IF(Agendamento!$C$3='Base de Dados'!A16,"x",""),IF(AND(Agendamento!$C$3='Base de Dados'!A16,'Base de Dados'!E16=Agendamento!$C$7),"x",""))))</f>
        <v/>
      </c>
      <c r="I16" s="13" t="str">
        <f>IF(H16="x",COUNT($I$1:I15)+1,"")</f>
        <v/>
      </c>
      <c r="M16" s="26"/>
    </row>
    <row r="17" spans="1:13" x14ac:dyDescent="0.25">
      <c r="A17" s="27"/>
      <c r="B17" s="28"/>
      <c r="C17" s="29"/>
      <c r="D17" s="29"/>
      <c r="E17" s="28"/>
      <c r="F17" s="13" t="str">
        <f>IF(A17="","",IF(A17=Agendamento!$C$3,"x",""))</f>
        <v/>
      </c>
      <c r="G17" s="13" t="str">
        <f>IF(A17="","",IF(E17=Agendamento!$C$7,"x",""))</f>
        <v/>
      </c>
      <c r="H17" s="13" t="str">
        <f>IF(A17="","",IF(AND(Agendamento!$C$3="",Agendamento!$C$7&lt;&gt;""),IF(Agendamento!$C$7='Base de Dados'!E17,"x",""),IF(AND(Agendamento!$C$3&lt;&gt;"",Agendamento!$C$7=""),IF(Agendamento!$C$3='Base de Dados'!A17,"x",""),IF(AND(Agendamento!$C$3='Base de Dados'!A17,'Base de Dados'!E17=Agendamento!$C$7),"x",""))))</f>
        <v/>
      </c>
      <c r="I17" s="13" t="str">
        <f>IF(H17="x",COUNT($I$1:I16)+1,"")</f>
        <v/>
      </c>
      <c r="M17" s="26"/>
    </row>
    <row r="18" spans="1:13" x14ac:dyDescent="0.25">
      <c r="A18" s="27"/>
      <c r="B18" s="28"/>
      <c r="C18" s="29"/>
      <c r="D18" s="29"/>
      <c r="E18" s="28"/>
      <c r="F18" s="13" t="str">
        <f>IF(A18="","",IF(A18=Agendamento!$C$3,"x",""))</f>
        <v/>
      </c>
      <c r="G18" s="13" t="str">
        <f>IF(A18="","",IF(E18=Agendamento!$C$7,"x",""))</f>
        <v/>
      </c>
      <c r="H18" s="13" t="str">
        <f>IF(A18="","",IF(AND(Agendamento!$C$3="",Agendamento!$C$7&lt;&gt;""),IF(Agendamento!$C$7='Base de Dados'!E18,"x",""),IF(AND(Agendamento!$C$3&lt;&gt;"",Agendamento!$C$7=""),IF(Agendamento!$C$3='Base de Dados'!A18,"x",""),IF(AND(Agendamento!$C$3='Base de Dados'!A18,'Base de Dados'!E18=Agendamento!$C$7),"x",""))))</f>
        <v/>
      </c>
      <c r="I18" s="13" t="str">
        <f>IF(H18="x",COUNT($I$1:I17)+1,"")</f>
        <v/>
      </c>
      <c r="M18" s="26"/>
    </row>
    <row r="19" spans="1:13" x14ac:dyDescent="0.25">
      <c r="A19" s="27"/>
      <c r="B19" s="28"/>
      <c r="C19" s="29"/>
      <c r="D19" s="29"/>
      <c r="E19" s="28"/>
      <c r="F19" s="13" t="str">
        <f>IF(A19="","",IF(A19=Agendamento!$C$3,"x",""))</f>
        <v/>
      </c>
      <c r="G19" s="13" t="str">
        <f>IF(A19="","",IF(E19=Agendamento!$C$7,"x",""))</f>
        <v/>
      </c>
      <c r="H19" s="13" t="str">
        <f>IF(A19="","",IF(AND(Agendamento!$C$3="",Agendamento!$C$7&lt;&gt;""),IF(Agendamento!$C$7='Base de Dados'!E19,"x",""),IF(AND(Agendamento!$C$3&lt;&gt;"",Agendamento!$C$7=""),IF(Agendamento!$C$3='Base de Dados'!A19,"x",""),IF(AND(Agendamento!$C$3='Base de Dados'!A19,'Base de Dados'!E19=Agendamento!$C$7),"x",""))))</f>
        <v/>
      </c>
      <c r="I19" s="13" t="str">
        <f>IF(H19="x",COUNT($I$1:I18)+1,"")</f>
        <v/>
      </c>
      <c r="M19" s="26"/>
    </row>
    <row r="20" spans="1:13" x14ac:dyDescent="0.25">
      <c r="A20" s="27"/>
      <c r="B20" s="28"/>
      <c r="C20" s="29"/>
      <c r="D20" s="29"/>
      <c r="E20" s="28"/>
      <c r="F20" s="13" t="str">
        <f>IF(A20="","",IF(A20=Agendamento!$C$3,"x",""))</f>
        <v/>
      </c>
      <c r="G20" s="13" t="str">
        <f>IF(A20="","",IF(E20=Agendamento!$C$7,"x",""))</f>
        <v/>
      </c>
      <c r="H20" s="13" t="str">
        <f>IF(A20="","",IF(AND(Agendamento!$C$3="",Agendamento!$C$7&lt;&gt;""),IF(Agendamento!$C$7='Base de Dados'!E20,"x",""),IF(AND(Agendamento!$C$3&lt;&gt;"",Agendamento!$C$7=""),IF(Agendamento!$C$3='Base de Dados'!A20,"x",""),IF(AND(Agendamento!$C$3='Base de Dados'!A20,'Base de Dados'!E20=Agendamento!$C$7),"x",""))))</f>
        <v/>
      </c>
      <c r="I20" s="13" t="str">
        <f>IF(H20="x",COUNT($I$1:I19)+1,"")</f>
        <v/>
      </c>
      <c r="M20" s="26"/>
    </row>
    <row r="21" spans="1:13" x14ac:dyDescent="0.25">
      <c r="A21" s="27"/>
      <c r="B21" s="28"/>
      <c r="C21" s="29"/>
      <c r="D21" s="29"/>
      <c r="E21" s="28"/>
      <c r="F21" s="13" t="str">
        <f>IF(A21="","",IF(A21=Agendamento!$C$3,"x",""))</f>
        <v/>
      </c>
      <c r="G21" s="13" t="str">
        <f>IF(A21="","",IF(E21=Agendamento!$C$7,"x",""))</f>
        <v/>
      </c>
      <c r="H21" s="13" t="str">
        <f>IF(A21="","",IF(AND(Agendamento!$C$3="",Agendamento!$C$7&lt;&gt;""),IF(Agendamento!$C$7='Base de Dados'!E21,"x",""),IF(AND(Agendamento!$C$3&lt;&gt;"",Agendamento!$C$7=""),IF(Agendamento!$C$3='Base de Dados'!A21,"x",""),IF(AND(Agendamento!$C$3='Base de Dados'!A21,'Base de Dados'!E21=Agendamento!$C$7),"x",""))))</f>
        <v/>
      </c>
      <c r="I21" s="13" t="str">
        <f>IF(H21="x",COUNT($I$1:I20)+1,"")</f>
        <v/>
      </c>
      <c r="M21" s="26"/>
    </row>
    <row r="22" spans="1:13" x14ac:dyDescent="0.25">
      <c r="A22" s="27"/>
      <c r="B22" s="28"/>
      <c r="C22" s="29"/>
      <c r="D22" s="29"/>
      <c r="E22" s="28"/>
      <c r="F22" s="13" t="str">
        <f>IF(A22="","",IF(A22=Agendamento!$C$3,"x",""))</f>
        <v/>
      </c>
      <c r="G22" s="13" t="str">
        <f>IF(A22="","",IF(E22=Agendamento!$C$7,"x",""))</f>
        <v/>
      </c>
      <c r="H22" s="13" t="str">
        <f>IF(A22="","",IF(AND(Agendamento!$C$3="",Agendamento!$C$7&lt;&gt;""),IF(Agendamento!$C$7='Base de Dados'!E22,"x",""),IF(AND(Agendamento!$C$3&lt;&gt;"",Agendamento!$C$7=""),IF(Agendamento!$C$3='Base de Dados'!A22,"x",""),IF(AND(Agendamento!$C$3='Base de Dados'!A22,'Base de Dados'!E22=Agendamento!$C$7),"x",""))))</f>
        <v/>
      </c>
      <c r="I22" s="13" t="str">
        <f>IF(H22="x",COUNT($I$1:I21)+1,"")</f>
        <v/>
      </c>
      <c r="M22" s="26"/>
    </row>
    <row r="23" spans="1:13" x14ac:dyDescent="0.25">
      <c r="A23" s="27"/>
      <c r="B23" s="28"/>
      <c r="C23" s="29"/>
      <c r="D23" s="29"/>
      <c r="E23" s="28"/>
      <c r="F23" s="13" t="str">
        <f>IF(A23="","",IF(A23=Agendamento!$C$3,"x",""))</f>
        <v/>
      </c>
      <c r="G23" s="13" t="str">
        <f>IF(A23="","",IF(E23=Agendamento!$C$7,"x",""))</f>
        <v/>
      </c>
      <c r="H23" s="13" t="str">
        <f>IF(A23="","",IF(AND(Agendamento!$C$3="",Agendamento!$C$7&lt;&gt;""),IF(Agendamento!$C$7='Base de Dados'!E23,"x",""),IF(AND(Agendamento!$C$3&lt;&gt;"",Agendamento!$C$7=""),IF(Agendamento!$C$3='Base de Dados'!A23,"x",""),IF(AND(Agendamento!$C$3='Base de Dados'!A23,'Base de Dados'!E23=Agendamento!$C$7),"x",""))))</f>
        <v/>
      </c>
      <c r="I23" s="13" t="str">
        <f>IF(H23="x",COUNT($I$1:I22)+1,"")</f>
        <v/>
      </c>
      <c r="M23" s="26"/>
    </row>
    <row r="24" spans="1:13" x14ac:dyDescent="0.25">
      <c r="A24" s="27"/>
      <c r="B24" s="28"/>
      <c r="C24" s="29"/>
      <c r="D24" s="29"/>
      <c r="E24" s="28"/>
      <c r="F24" s="13" t="str">
        <f>IF(A24="","",IF(A24=Agendamento!$C$3,"x",""))</f>
        <v/>
      </c>
      <c r="G24" s="13" t="str">
        <f>IF(A24="","",IF(E24=Agendamento!$C$7,"x",""))</f>
        <v/>
      </c>
      <c r="H24" s="13" t="str">
        <f>IF(A24="","",IF(AND(Agendamento!$C$3="",Agendamento!$C$7&lt;&gt;""),IF(Agendamento!$C$7='Base de Dados'!E24,"x",""),IF(AND(Agendamento!$C$3&lt;&gt;"",Agendamento!$C$7=""),IF(Agendamento!$C$3='Base de Dados'!A24,"x",""),IF(AND(Agendamento!$C$3='Base de Dados'!A24,'Base de Dados'!E24=Agendamento!$C$7),"x",""))))</f>
        <v/>
      </c>
      <c r="I24" s="13" t="str">
        <f>IF(H24="x",COUNT($I$1:I23)+1,"")</f>
        <v/>
      </c>
      <c r="M24" s="26"/>
    </row>
    <row r="25" spans="1:13" x14ac:dyDescent="0.25">
      <c r="A25" s="27"/>
      <c r="B25" s="28"/>
      <c r="C25" s="29"/>
      <c r="D25" s="29"/>
      <c r="E25" s="28"/>
      <c r="F25" s="13" t="str">
        <f>IF(A25="","",IF(A25=Agendamento!$C$3,"x",""))</f>
        <v/>
      </c>
      <c r="G25" s="13" t="str">
        <f>IF(A25="","",IF(E25=Agendamento!$C$7,"x",""))</f>
        <v/>
      </c>
      <c r="H25" s="13" t="str">
        <f>IF(A25="","",IF(AND(Agendamento!$C$3="",Agendamento!$C$7&lt;&gt;""),IF(Agendamento!$C$7='Base de Dados'!E25,"x",""),IF(AND(Agendamento!$C$3&lt;&gt;"",Agendamento!$C$7=""),IF(Agendamento!$C$3='Base de Dados'!A25,"x",""),IF(AND(Agendamento!$C$3='Base de Dados'!A25,'Base de Dados'!E25=Agendamento!$C$7),"x",""))))</f>
        <v/>
      </c>
      <c r="I25" s="13" t="str">
        <f>IF(H25="x",COUNT($I$1:I24)+1,"")</f>
        <v/>
      </c>
      <c r="M25" s="26"/>
    </row>
    <row r="26" spans="1:13" x14ac:dyDescent="0.25">
      <c r="A26" s="27"/>
      <c r="B26" s="28"/>
      <c r="C26" s="29"/>
      <c r="D26" s="29"/>
      <c r="E26" s="28"/>
      <c r="F26" s="13" t="str">
        <f>IF(A26="","",IF(A26=Agendamento!$C$3,"x",""))</f>
        <v/>
      </c>
      <c r="G26" s="13" t="str">
        <f>IF(A26="","",IF(E26=Agendamento!$C$7,"x",""))</f>
        <v/>
      </c>
      <c r="H26" s="13" t="str">
        <f>IF(A26="","",IF(AND(Agendamento!$C$3="",Agendamento!$C$7&lt;&gt;""),IF(Agendamento!$C$7='Base de Dados'!E26,"x",""),IF(AND(Agendamento!$C$3&lt;&gt;"",Agendamento!$C$7=""),IF(Agendamento!$C$3='Base de Dados'!A26,"x",""),IF(AND(Agendamento!$C$3='Base de Dados'!A26,'Base de Dados'!E26=Agendamento!$C$7),"x",""))))</f>
        <v/>
      </c>
      <c r="I26" s="13" t="str">
        <f>IF(H26="x",COUNT($I$1:I25)+1,"")</f>
        <v/>
      </c>
      <c r="M26" s="26"/>
    </row>
    <row r="27" spans="1:13" x14ac:dyDescent="0.25">
      <c r="A27" s="27"/>
      <c r="B27" s="28"/>
      <c r="C27" s="29"/>
      <c r="D27" s="29"/>
      <c r="E27" s="28"/>
      <c r="F27" s="13" t="str">
        <f>IF(A27="","",IF(A27=Agendamento!$C$3,"x",""))</f>
        <v/>
      </c>
      <c r="G27" s="13" t="str">
        <f>IF(A27="","",IF(E27=Agendamento!$C$7,"x",""))</f>
        <v/>
      </c>
      <c r="H27" s="13" t="str">
        <f>IF(A27="","",IF(AND(Agendamento!$C$3="",Agendamento!$C$7&lt;&gt;""),IF(Agendamento!$C$7='Base de Dados'!E27,"x",""),IF(AND(Agendamento!$C$3&lt;&gt;"",Agendamento!$C$7=""),IF(Agendamento!$C$3='Base de Dados'!A27,"x",""),IF(AND(Agendamento!$C$3='Base de Dados'!A27,'Base de Dados'!E27=Agendamento!$C$7),"x",""))))</f>
        <v/>
      </c>
      <c r="I27" s="13" t="str">
        <f>IF(H27="x",COUNT($I$1:I26)+1,"")</f>
        <v/>
      </c>
      <c r="M27" s="26"/>
    </row>
    <row r="28" spans="1:13" x14ac:dyDescent="0.25">
      <c r="A28" s="27"/>
      <c r="B28" s="28"/>
      <c r="C28" s="29"/>
      <c r="D28" s="29"/>
      <c r="E28" s="28"/>
      <c r="F28" s="13" t="str">
        <f>IF(A28="","",IF(A28=Agendamento!$C$3,"x",""))</f>
        <v/>
      </c>
      <c r="G28" s="13" t="str">
        <f>IF(A28="","",IF(E28=Agendamento!$C$7,"x",""))</f>
        <v/>
      </c>
      <c r="H28" s="13" t="str">
        <f>IF(A28="","",IF(AND(Agendamento!$C$3="",Agendamento!$C$7&lt;&gt;""),IF(Agendamento!$C$7='Base de Dados'!E28,"x",""),IF(AND(Agendamento!$C$3&lt;&gt;"",Agendamento!$C$7=""),IF(Agendamento!$C$3='Base de Dados'!A28,"x",""),IF(AND(Agendamento!$C$3='Base de Dados'!A28,'Base de Dados'!E28=Agendamento!$C$7),"x",""))))</f>
        <v/>
      </c>
      <c r="I28" s="13" t="str">
        <f>IF(H28="x",COUNT($I$1:I27)+1,"")</f>
        <v/>
      </c>
      <c r="M28" s="26"/>
    </row>
    <row r="29" spans="1:13" x14ac:dyDescent="0.25">
      <c r="A29" s="27"/>
      <c r="B29" s="28"/>
      <c r="C29" s="29"/>
      <c r="D29" s="29"/>
      <c r="E29" s="28"/>
      <c r="F29" s="13" t="str">
        <f>IF(A29="","",IF(A29=Agendamento!$C$3,"x",""))</f>
        <v/>
      </c>
      <c r="G29" s="13" t="str">
        <f>IF(A29="","",IF(E29=Agendamento!$C$7,"x",""))</f>
        <v/>
      </c>
      <c r="H29" s="13" t="str">
        <f>IF(A29="","",IF(AND(Agendamento!$C$3="",Agendamento!$C$7&lt;&gt;""),IF(Agendamento!$C$7='Base de Dados'!E29,"x",""),IF(AND(Agendamento!$C$3&lt;&gt;"",Agendamento!$C$7=""),IF(Agendamento!$C$3='Base de Dados'!A29,"x",""),IF(AND(Agendamento!$C$3='Base de Dados'!A29,'Base de Dados'!E29=Agendamento!$C$7),"x",""))))</f>
        <v/>
      </c>
      <c r="I29" s="13" t="str">
        <f>IF(H29="x",COUNT($I$1:I28)+1,"")</f>
        <v/>
      </c>
      <c r="M29" s="26"/>
    </row>
    <row r="30" spans="1:13" x14ac:dyDescent="0.25">
      <c r="A30" s="27"/>
      <c r="B30" s="28"/>
      <c r="C30" s="29"/>
      <c r="D30" s="29"/>
      <c r="E30" s="28"/>
      <c r="F30" s="13" t="str">
        <f>IF(A30="","",IF(A30=Agendamento!$C$3,"x",""))</f>
        <v/>
      </c>
      <c r="G30" s="13" t="str">
        <f>IF(A30="","",IF(E30=Agendamento!$C$7,"x",""))</f>
        <v/>
      </c>
      <c r="H30" s="13" t="str">
        <f>IF(A30="","",IF(AND(Agendamento!$C$3="",Agendamento!$C$7&lt;&gt;""),IF(Agendamento!$C$7='Base de Dados'!E30,"x",""),IF(AND(Agendamento!$C$3&lt;&gt;"",Agendamento!$C$7=""),IF(Agendamento!$C$3='Base de Dados'!A30,"x",""),IF(AND(Agendamento!$C$3='Base de Dados'!A30,'Base de Dados'!E30=Agendamento!$C$7),"x",""))))</f>
        <v/>
      </c>
      <c r="I30" s="13" t="str">
        <f>IF(H30="x",COUNT($I$1:I29)+1,"")</f>
        <v/>
      </c>
      <c r="M30" s="26"/>
    </row>
    <row r="31" spans="1:13" x14ac:dyDescent="0.25">
      <c r="A31" s="27"/>
      <c r="B31" s="28"/>
      <c r="C31" s="29"/>
      <c r="D31" s="29"/>
      <c r="E31" s="28"/>
      <c r="F31" s="13" t="str">
        <f>IF(A31="","",IF(A31=Agendamento!$C$3,"x",""))</f>
        <v/>
      </c>
      <c r="G31" s="13" t="str">
        <f>IF(A31="","",IF(E31=Agendamento!$C$7,"x",""))</f>
        <v/>
      </c>
      <c r="H31" s="13" t="str">
        <f>IF(A31="","",IF(AND(Agendamento!$C$3="",Agendamento!$C$7&lt;&gt;""),IF(Agendamento!$C$7='Base de Dados'!E31,"x",""),IF(AND(Agendamento!$C$3&lt;&gt;"",Agendamento!$C$7=""),IF(Agendamento!$C$3='Base de Dados'!A31,"x",""),IF(AND(Agendamento!$C$3='Base de Dados'!A31,'Base de Dados'!E31=Agendamento!$C$7),"x",""))))</f>
        <v/>
      </c>
      <c r="I31" s="13" t="str">
        <f>IF(H31="x",COUNT($I$1:I30)+1,"")</f>
        <v/>
      </c>
      <c r="M31" s="26"/>
    </row>
    <row r="32" spans="1:13" x14ac:dyDescent="0.25">
      <c r="A32" s="27"/>
      <c r="B32" s="28"/>
      <c r="C32" s="29"/>
      <c r="D32" s="29"/>
      <c r="E32" s="28"/>
      <c r="F32" s="13" t="str">
        <f>IF(A32="","",IF(A32=Agendamento!$C$3,"x",""))</f>
        <v/>
      </c>
      <c r="G32" s="13" t="str">
        <f>IF(A32="","",IF(E32=Agendamento!$C$7,"x",""))</f>
        <v/>
      </c>
      <c r="H32" s="13" t="str">
        <f>IF(A32="","",IF(AND(Agendamento!$C$3="",Agendamento!$C$7&lt;&gt;""),IF(Agendamento!$C$7='Base de Dados'!E32,"x",""),IF(AND(Agendamento!$C$3&lt;&gt;"",Agendamento!$C$7=""),IF(Agendamento!$C$3='Base de Dados'!A32,"x",""),IF(AND(Agendamento!$C$3='Base de Dados'!A32,'Base de Dados'!E32=Agendamento!$C$7),"x",""))))</f>
        <v/>
      </c>
      <c r="I32" s="13" t="str">
        <f>IF(H32="x",COUNT($I$1:I31)+1,"")</f>
        <v/>
      </c>
      <c r="M32" s="26"/>
    </row>
    <row r="33" spans="1:13" x14ac:dyDescent="0.25">
      <c r="A33" s="27"/>
      <c r="B33" s="28"/>
      <c r="C33" s="29"/>
      <c r="D33" s="29"/>
      <c r="E33" s="28"/>
      <c r="F33" s="13" t="str">
        <f>IF(A33="","",IF(A33=Agendamento!$C$3,"x",""))</f>
        <v/>
      </c>
      <c r="G33" s="13" t="str">
        <f>IF(A33="","",IF(E33=Agendamento!$C$7,"x",""))</f>
        <v/>
      </c>
      <c r="H33" s="13" t="str">
        <f>IF(A33="","",IF(AND(Agendamento!$C$3="",Agendamento!$C$7&lt;&gt;""),IF(Agendamento!$C$7='Base de Dados'!E33,"x",""),IF(AND(Agendamento!$C$3&lt;&gt;"",Agendamento!$C$7=""),IF(Agendamento!$C$3='Base de Dados'!A33,"x",""),IF(AND(Agendamento!$C$3='Base de Dados'!A33,'Base de Dados'!E33=Agendamento!$C$7),"x",""))))</f>
        <v/>
      </c>
      <c r="I33" s="13" t="str">
        <f>IF(H33="x",COUNT($I$1:I32)+1,"")</f>
        <v/>
      </c>
      <c r="M33" s="26"/>
    </row>
    <row r="34" spans="1:13" x14ac:dyDescent="0.25">
      <c r="A34" s="27"/>
      <c r="B34" s="28"/>
      <c r="C34" s="29"/>
      <c r="D34" s="29"/>
      <c r="E34" s="28"/>
      <c r="F34" s="13" t="str">
        <f>IF(A34="","",IF(A34=Agendamento!$C$3,"x",""))</f>
        <v/>
      </c>
      <c r="G34" s="13" t="str">
        <f>IF(A34="","",IF(E34=Agendamento!$C$7,"x",""))</f>
        <v/>
      </c>
      <c r="H34" s="13" t="str">
        <f>IF(A34="","",IF(AND(Agendamento!$C$3="",Agendamento!$C$7&lt;&gt;""),IF(Agendamento!$C$7='Base de Dados'!E34,"x",""),IF(AND(Agendamento!$C$3&lt;&gt;"",Agendamento!$C$7=""),IF(Agendamento!$C$3='Base de Dados'!A34,"x",""),IF(AND(Agendamento!$C$3='Base de Dados'!A34,'Base de Dados'!E34=Agendamento!$C$7),"x",""))))</f>
        <v/>
      </c>
      <c r="I34" s="13" t="str">
        <f>IF(H34="x",COUNT($I$1:I33)+1,"")</f>
        <v/>
      </c>
      <c r="M34" s="26"/>
    </row>
    <row r="35" spans="1:13" x14ac:dyDescent="0.25">
      <c r="A35" s="27"/>
      <c r="B35" s="28"/>
      <c r="C35" s="29"/>
      <c r="D35" s="29"/>
      <c r="E35" s="28"/>
      <c r="F35" s="13" t="str">
        <f>IF(A35="","",IF(A35=Agendamento!$C$3,"x",""))</f>
        <v/>
      </c>
      <c r="G35" s="13" t="str">
        <f>IF(A35="","",IF(E35=Agendamento!$C$7,"x",""))</f>
        <v/>
      </c>
      <c r="H35" s="13" t="str">
        <f>IF(A35="","",IF(AND(Agendamento!$C$3="",Agendamento!$C$7&lt;&gt;""),IF(Agendamento!$C$7='Base de Dados'!E35,"x",""),IF(AND(Agendamento!$C$3&lt;&gt;"",Agendamento!$C$7=""),IF(Agendamento!$C$3='Base de Dados'!A35,"x",""),IF(AND(Agendamento!$C$3='Base de Dados'!A35,'Base de Dados'!E35=Agendamento!$C$7),"x",""))))</f>
        <v/>
      </c>
      <c r="I35" s="13" t="str">
        <f>IF(H35="x",COUNT($I$1:I34)+1,"")</f>
        <v/>
      </c>
      <c r="M35" s="26"/>
    </row>
    <row r="36" spans="1:13" x14ac:dyDescent="0.25">
      <c r="A36" s="27"/>
      <c r="B36" s="28"/>
      <c r="C36" s="29"/>
      <c r="D36" s="29"/>
      <c r="E36" s="28"/>
      <c r="F36" s="13" t="str">
        <f>IF(A36="","",IF(A36=Agendamento!$C$3,"x",""))</f>
        <v/>
      </c>
      <c r="G36" s="13" t="str">
        <f>IF(A36="","",IF(E36=Agendamento!$C$7,"x",""))</f>
        <v/>
      </c>
      <c r="H36" s="13" t="str">
        <f>IF(A36="","",IF(AND(Agendamento!$C$3="",Agendamento!$C$7&lt;&gt;""),IF(Agendamento!$C$7='Base de Dados'!E36,"x",""),IF(AND(Agendamento!$C$3&lt;&gt;"",Agendamento!$C$7=""),IF(Agendamento!$C$3='Base de Dados'!A36,"x",""),IF(AND(Agendamento!$C$3='Base de Dados'!A36,'Base de Dados'!E36=Agendamento!$C$7),"x",""))))</f>
        <v/>
      </c>
      <c r="I36" s="13" t="str">
        <f>IF(H36="x",COUNT($I$1:I35)+1,"")</f>
        <v/>
      </c>
      <c r="M36" s="26"/>
    </row>
    <row r="37" spans="1:13" x14ac:dyDescent="0.25">
      <c r="A37" s="27"/>
      <c r="B37" s="28"/>
      <c r="C37" s="29"/>
      <c r="D37" s="29"/>
      <c r="E37" s="28"/>
      <c r="F37" s="13" t="str">
        <f>IF(A37="","",IF(A37=Agendamento!$C$3,"x",""))</f>
        <v/>
      </c>
      <c r="G37" s="13" t="str">
        <f>IF(A37="","",IF(E37=Agendamento!$C$7,"x",""))</f>
        <v/>
      </c>
      <c r="H37" s="13" t="str">
        <f>IF(A37="","",IF(AND(Agendamento!$C$3="",Agendamento!$C$7&lt;&gt;""),IF(Agendamento!$C$7='Base de Dados'!E37,"x",""),IF(AND(Agendamento!$C$3&lt;&gt;"",Agendamento!$C$7=""),IF(Agendamento!$C$3='Base de Dados'!A37,"x",""),IF(AND(Agendamento!$C$3='Base de Dados'!A37,'Base de Dados'!E37=Agendamento!$C$7),"x",""))))</f>
        <v/>
      </c>
      <c r="I37" s="13" t="str">
        <f>IF(H37="x",COUNT($I$1:I36)+1,"")</f>
        <v/>
      </c>
      <c r="M37" s="26"/>
    </row>
    <row r="38" spans="1:13" x14ac:dyDescent="0.25">
      <c r="A38" s="27"/>
      <c r="B38" s="28"/>
      <c r="C38" s="29"/>
      <c r="D38" s="29"/>
      <c r="E38" s="28"/>
      <c r="F38" s="13" t="str">
        <f>IF(A38="","",IF(A38=Agendamento!$C$3,"x",""))</f>
        <v/>
      </c>
      <c r="G38" s="13" t="str">
        <f>IF(A38="","",IF(E38=Agendamento!$C$7,"x",""))</f>
        <v/>
      </c>
      <c r="H38" s="13" t="str">
        <f>IF(A38="","",IF(AND(Agendamento!$C$3="",Agendamento!$C$7&lt;&gt;""),IF(Agendamento!$C$7='Base de Dados'!E38,"x",""),IF(AND(Agendamento!$C$3&lt;&gt;"",Agendamento!$C$7=""),IF(Agendamento!$C$3='Base de Dados'!A38,"x",""),IF(AND(Agendamento!$C$3='Base de Dados'!A38,'Base de Dados'!E38=Agendamento!$C$7),"x",""))))</f>
        <v/>
      </c>
      <c r="I38" s="13" t="str">
        <f>IF(H38="x",COUNT($I$1:I37)+1,"")</f>
        <v/>
      </c>
      <c r="M38" s="26"/>
    </row>
    <row r="39" spans="1:13" x14ac:dyDescent="0.25">
      <c r="A39" s="27"/>
      <c r="B39" s="28"/>
      <c r="C39" s="29"/>
      <c r="D39" s="29"/>
      <c r="E39" s="28"/>
      <c r="F39" s="13" t="str">
        <f>IF(A39="","",IF(A39=Agendamento!$C$3,"x",""))</f>
        <v/>
      </c>
      <c r="G39" s="13" t="str">
        <f>IF(A39="","",IF(E39=Agendamento!$C$7,"x",""))</f>
        <v/>
      </c>
      <c r="H39" s="13" t="str">
        <f>IF(A39="","",IF(AND(Agendamento!$C$3="",Agendamento!$C$7&lt;&gt;""),IF(Agendamento!$C$7='Base de Dados'!E39,"x",""),IF(AND(Agendamento!$C$3&lt;&gt;"",Agendamento!$C$7=""),IF(Agendamento!$C$3='Base de Dados'!A39,"x",""),IF(AND(Agendamento!$C$3='Base de Dados'!A39,'Base de Dados'!E39=Agendamento!$C$7),"x",""))))</f>
        <v/>
      </c>
      <c r="I39" s="13" t="str">
        <f>IF(H39="x",COUNT($I$1:I38)+1,"")</f>
        <v/>
      </c>
      <c r="M39" s="26"/>
    </row>
    <row r="40" spans="1:13" x14ac:dyDescent="0.25">
      <c r="A40" s="27"/>
      <c r="B40" s="28"/>
      <c r="C40" s="29"/>
      <c r="D40" s="29"/>
      <c r="E40" s="28"/>
      <c r="F40" s="13" t="str">
        <f>IF(A40="","",IF(A40=Agendamento!$C$3,"x",""))</f>
        <v/>
      </c>
      <c r="G40" s="13" t="str">
        <f>IF(A40="","",IF(E40=Agendamento!$C$7,"x",""))</f>
        <v/>
      </c>
      <c r="H40" s="13" t="str">
        <f>IF(A40="","",IF(AND(Agendamento!$C$3="",Agendamento!$C$7&lt;&gt;""),IF(Agendamento!$C$7='Base de Dados'!E40,"x",""),IF(AND(Agendamento!$C$3&lt;&gt;"",Agendamento!$C$7=""),IF(Agendamento!$C$3='Base de Dados'!A40,"x",""),IF(AND(Agendamento!$C$3='Base de Dados'!A40,'Base de Dados'!E40=Agendamento!$C$7),"x",""))))</f>
        <v/>
      </c>
      <c r="I40" s="13" t="str">
        <f>IF(H40="x",COUNT($I$1:I39)+1,"")</f>
        <v/>
      </c>
      <c r="M40" s="26"/>
    </row>
    <row r="41" spans="1:13" x14ac:dyDescent="0.25">
      <c r="A41" s="27"/>
      <c r="B41" s="28"/>
      <c r="C41" s="29"/>
      <c r="D41" s="29"/>
      <c r="E41" s="28"/>
      <c r="F41" s="13" t="str">
        <f>IF(A41="","",IF(A41=Agendamento!$C$3,"x",""))</f>
        <v/>
      </c>
      <c r="G41" s="13" t="str">
        <f>IF(A41="","",IF(E41=Agendamento!$C$7,"x",""))</f>
        <v/>
      </c>
      <c r="H41" s="13" t="str">
        <f>IF(A41="","",IF(AND(Agendamento!$C$3="",Agendamento!$C$7&lt;&gt;""),IF(Agendamento!$C$7='Base de Dados'!E41,"x",""),IF(AND(Agendamento!$C$3&lt;&gt;"",Agendamento!$C$7=""),IF(Agendamento!$C$3='Base de Dados'!A41,"x",""),IF(AND(Agendamento!$C$3='Base de Dados'!A41,'Base de Dados'!E41=Agendamento!$C$7),"x",""))))</f>
        <v/>
      </c>
      <c r="I41" s="13" t="str">
        <f>IF(H41="x",COUNT($I$1:I40)+1,"")</f>
        <v/>
      </c>
      <c r="M41" s="26"/>
    </row>
    <row r="42" spans="1:13" x14ac:dyDescent="0.25">
      <c r="A42" s="27"/>
      <c r="B42" s="28"/>
      <c r="C42" s="29"/>
      <c r="D42" s="29"/>
      <c r="E42" s="28"/>
      <c r="F42" s="13" t="str">
        <f>IF(A42="","",IF(A42=Agendamento!$C$3,"x",""))</f>
        <v/>
      </c>
      <c r="G42" s="13" t="str">
        <f>IF(A42="","",IF(E42=Agendamento!$C$7,"x",""))</f>
        <v/>
      </c>
      <c r="H42" s="13" t="str">
        <f>IF(A42="","",IF(AND(Agendamento!$C$3="",Agendamento!$C$7&lt;&gt;""),IF(Agendamento!$C$7='Base de Dados'!E42,"x",""),IF(AND(Agendamento!$C$3&lt;&gt;"",Agendamento!$C$7=""),IF(Agendamento!$C$3='Base de Dados'!A42,"x",""),IF(AND(Agendamento!$C$3='Base de Dados'!A42,'Base de Dados'!E42=Agendamento!$C$7),"x",""))))</f>
        <v/>
      </c>
      <c r="I42" s="13" t="str">
        <f>IF(H42="x",COUNT($I$1:I41)+1,"")</f>
        <v/>
      </c>
      <c r="M42" s="26"/>
    </row>
    <row r="43" spans="1:13" x14ac:dyDescent="0.25">
      <c r="A43" s="27"/>
      <c r="B43" s="28"/>
      <c r="C43" s="29"/>
      <c r="D43" s="29"/>
      <c r="E43" s="28"/>
      <c r="F43" s="13" t="str">
        <f>IF(A43="","",IF(A43=Agendamento!$C$3,"x",""))</f>
        <v/>
      </c>
      <c r="G43" s="13" t="str">
        <f>IF(A43="","",IF(E43=Agendamento!$C$7,"x",""))</f>
        <v/>
      </c>
      <c r="H43" s="13" t="str">
        <f>IF(A43="","",IF(AND(Agendamento!$C$3="",Agendamento!$C$7&lt;&gt;""),IF(Agendamento!$C$7='Base de Dados'!E43,"x",""),IF(AND(Agendamento!$C$3&lt;&gt;"",Agendamento!$C$7=""),IF(Agendamento!$C$3='Base de Dados'!A43,"x",""),IF(AND(Agendamento!$C$3='Base de Dados'!A43,'Base de Dados'!E43=Agendamento!$C$7),"x",""))))</f>
        <v/>
      </c>
      <c r="I43" s="13" t="str">
        <f>IF(H43="x",COUNT($I$1:I42)+1,"")</f>
        <v/>
      </c>
      <c r="M43" s="26"/>
    </row>
    <row r="44" spans="1:13" x14ac:dyDescent="0.25">
      <c r="A44" s="27"/>
      <c r="B44" s="28"/>
      <c r="C44" s="29"/>
      <c r="D44" s="29"/>
      <c r="E44" s="28"/>
      <c r="F44" s="13" t="str">
        <f>IF(A44="","",IF(A44=Agendamento!$C$3,"x",""))</f>
        <v/>
      </c>
      <c r="G44" s="13" t="str">
        <f>IF(A44="","",IF(E44=Agendamento!$C$7,"x",""))</f>
        <v/>
      </c>
      <c r="H44" s="13" t="str">
        <f>IF(A44="","",IF(AND(Agendamento!$C$3="",Agendamento!$C$7&lt;&gt;""),IF(Agendamento!$C$7='Base de Dados'!E44,"x",""),IF(AND(Agendamento!$C$3&lt;&gt;"",Agendamento!$C$7=""),IF(Agendamento!$C$3='Base de Dados'!A44,"x",""),IF(AND(Agendamento!$C$3='Base de Dados'!A44,'Base de Dados'!E44=Agendamento!$C$7),"x",""))))</f>
        <v/>
      </c>
      <c r="I44" s="13" t="str">
        <f>IF(H44="x",COUNT($I$1:I43)+1,"")</f>
        <v/>
      </c>
      <c r="M44" s="26"/>
    </row>
    <row r="45" spans="1:13" x14ac:dyDescent="0.25">
      <c r="A45" s="27"/>
      <c r="B45" s="28"/>
      <c r="C45" s="29"/>
      <c r="D45" s="29"/>
      <c r="E45" s="28"/>
      <c r="F45" s="13" t="str">
        <f>IF(A45="","",IF(A45=Agendamento!$C$3,"x",""))</f>
        <v/>
      </c>
      <c r="G45" s="13" t="str">
        <f>IF(A45="","",IF(E45=Agendamento!$C$7,"x",""))</f>
        <v/>
      </c>
      <c r="H45" s="13" t="str">
        <f>IF(A45="","",IF(AND(Agendamento!$C$3="",Agendamento!$C$7&lt;&gt;""),IF(Agendamento!$C$7='Base de Dados'!E45,"x",""),IF(AND(Agendamento!$C$3&lt;&gt;"",Agendamento!$C$7=""),IF(Agendamento!$C$3='Base de Dados'!A45,"x",""),IF(AND(Agendamento!$C$3='Base de Dados'!A45,'Base de Dados'!E45=Agendamento!$C$7),"x",""))))</f>
        <v/>
      </c>
      <c r="I45" s="13" t="str">
        <f>IF(H45="x",COUNT($I$1:I44)+1,"")</f>
        <v/>
      </c>
      <c r="M45" s="26"/>
    </row>
    <row r="46" spans="1:13" x14ac:dyDescent="0.25">
      <c r="A46" s="27"/>
      <c r="B46" s="28"/>
      <c r="C46" s="29"/>
      <c r="D46" s="29"/>
      <c r="E46" s="28"/>
      <c r="F46" s="13" t="str">
        <f>IF(A46="","",IF(A46=Agendamento!$C$3,"x",""))</f>
        <v/>
      </c>
      <c r="G46" s="13" t="str">
        <f>IF(A46="","",IF(E46=Agendamento!$C$7,"x",""))</f>
        <v/>
      </c>
      <c r="H46" s="13" t="str">
        <f>IF(A46="","",IF(AND(Agendamento!$C$3="",Agendamento!$C$7&lt;&gt;""),IF(Agendamento!$C$7='Base de Dados'!E46,"x",""),IF(AND(Agendamento!$C$3&lt;&gt;"",Agendamento!$C$7=""),IF(Agendamento!$C$3='Base de Dados'!A46,"x",""),IF(AND(Agendamento!$C$3='Base de Dados'!A46,'Base de Dados'!E46=Agendamento!$C$7),"x",""))))</f>
        <v/>
      </c>
      <c r="I46" s="13" t="str">
        <f>IF(H46="x",COUNT($I$1:I45)+1,"")</f>
        <v/>
      </c>
      <c r="M46" s="26"/>
    </row>
    <row r="47" spans="1:13" x14ac:dyDescent="0.25">
      <c r="A47" s="27"/>
      <c r="B47" s="28"/>
      <c r="C47" s="29"/>
      <c r="D47" s="29"/>
      <c r="E47" s="28"/>
      <c r="F47" s="13" t="str">
        <f>IF(A47="","",IF(A47=Agendamento!$C$3,"x",""))</f>
        <v/>
      </c>
      <c r="G47" s="13" t="str">
        <f>IF(A47="","",IF(E47=Agendamento!$C$7,"x",""))</f>
        <v/>
      </c>
      <c r="H47" s="13" t="str">
        <f>IF(A47="","",IF(AND(Agendamento!$C$3="",Agendamento!$C$7&lt;&gt;""),IF(Agendamento!$C$7='Base de Dados'!E47,"x",""),IF(AND(Agendamento!$C$3&lt;&gt;"",Agendamento!$C$7=""),IF(Agendamento!$C$3='Base de Dados'!A47,"x",""),IF(AND(Agendamento!$C$3='Base de Dados'!A47,'Base de Dados'!E47=Agendamento!$C$7),"x",""))))</f>
        <v/>
      </c>
      <c r="I47" s="13" t="str">
        <f>IF(H47="x",COUNT($I$1:I46)+1,"")</f>
        <v/>
      </c>
      <c r="M47" s="26"/>
    </row>
    <row r="48" spans="1:13" x14ac:dyDescent="0.25">
      <c r="A48" s="27"/>
      <c r="B48" s="28"/>
      <c r="C48" s="29"/>
      <c r="D48" s="29"/>
      <c r="E48" s="28"/>
      <c r="F48" s="13" t="str">
        <f>IF(A48="","",IF(A48=Agendamento!$C$3,"x",""))</f>
        <v/>
      </c>
      <c r="G48" s="13" t="str">
        <f>IF(A48="","",IF(E48=Agendamento!$C$7,"x",""))</f>
        <v/>
      </c>
      <c r="H48" s="13" t="str">
        <f>IF(A48="","",IF(AND(Agendamento!$C$3="",Agendamento!$C$7&lt;&gt;""),IF(Agendamento!$C$7='Base de Dados'!E48,"x",""),IF(AND(Agendamento!$C$3&lt;&gt;"",Agendamento!$C$7=""),IF(Agendamento!$C$3='Base de Dados'!A48,"x",""),IF(AND(Agendamento!$C$3='Base de Dados'!A48,'Base de Dados'!E48=Agendamento!$C$7),"x",""))))</f>
        <v/>
      </c>
      <c r="I48" s="13" t="str">
        <f>IF(H48="x",COUNT($I$1:I47)+1,"")</f>
        <v/>
      </c>
      <c r="M48" s="26"/>
    </row>
    <row r="49" spans="1:13" x14ac:dyDescent="0.25">
      <c r="A49" s="27"/>
      <c r="B49" s="28"/>
      <c r="C49" s="29"/>
      <c r="D49" s="29"/>
      <c r="E49" s="28"/>
      <c r="F49" s="13" t="str">
        <f>IF(A49="","",IF(A49=Agendamento!$C$3,"x",""))</f>
        <v/>
      </c>
      <c r="G49" s="13" t="str">
        <f>IF(A49="","",IF(E49=Agendamento!$C$7,"x",""))</f>
        <v/>
      </c>
      <c r="H49" s="13" t="str">
        <f>IF(A49="","",IF(AND(Agendamento!$C$3="",Agendamento!$C$7&lt;&gt;""),IF(Agendamento!$C$7='Base de Dados'!E49,"x",""),IF(AND(Agendamento!$C$3&lt;&gt;"",Agendamento!$C$7=""),IF(Agendamento!$C$3='Base de Dados'!A49,"x",""),IF(AND(Agendamento!$C$3='Base de Dados'!A49,'Base de Dados'!E49=Agendamento!$C$7),"x",""))))</f>
        <v/>
      </c>
      <c r="I49" s="13" t="str">
        <f>IF(H49="x",COUNT($I$1:I48)+1,"")</f>
        <v/>
      </c>
      <c r="M49" s="26"/>
    </row>
    <row r="50" spans="1:13" x14ac:dyDescent="0.25">
      <c r="A50" s="27"/>
      <c r="B50" s="28"/>
      <c r="C50" s="29"/>
      <c r="D50" s="29"/>
      <c r="E50" s="28"/>
      <c r="F50" s="13" t="str">
        <f>IF(A50="","",IF(A50=Agendamento!$C$3,"x",""))</f>
        <v/>
      </c>
      <c r="G50" s="13" t="str">
        <f>IF(A50="","",IF(E50=Agendamento!$C$7,"x",""))</f>
        <v/>
      </c>
      <c r="H50" s="13" t="str">
        <f>IF(A50="","",IF(AND(Agendamento!$C$3="",Agendamento!$C$7&lt;&gt;""),IF(Agendamento!$C$7='Base de Dados'!E50,"x",""),IF(AND(Agendamento!$C$3&lt;&gt;"",Agendamento!$C$7=""),IF(Agendamento!$C$3='Base de Dados'!A50,"x",""),IF(AND(Agendamento!$C$3='Base de Dados'!A50,'Base de Dados'!E50=Agendamento!$C$7),"x",""))))</f>
        <v/>
      </c>
      <c r="I50" s="13" t="str">
        <f>IF(H50="x",COUNT($I$1:I49)+1,"")</f>
        <v/>
      </c>
      <c r="M50" s="26"/>
    </row>
    <row r="51" spans="1:13" x14ac:dyDescent="0.25">
      <c r="A51" s="27"/>
      <c r="B51" s="28"/>
      <c r="C51" s="29"/>
      <c r="D51" s="29"/>
      <c r="E51" s="28"/>
      <c r="F51" s="13" t="str">
        <f>IF(A51="","",IF(A51=Agendamento!$C$3,"x",""))</f>
        <v/>
      </c>
      <c r="G51" s="13" t="str">
        <f>IF(A51="","",IF(E51=Agendamento!$C$7,"x",""))</f>
        <v/>
      </c>
      <c r="H51" s="13" t="str">
        <f>IF(A51="","",IF(AND(Agendamento!$C$3="",Agendamento!$C$7&lt;&gt;""),IF(Agendamento!$C$7='Base de Dados'!E51,"x",""),IF(AND(Agendamento!$C$3&lt;&gt;"",Agendamento!$C$7=""),IF(Agendamento!$C$3='Base de Dados'!A51,"x",""),IF(AND(Agendamento!$C$3='Base de Dados'!A51,'Base de Dados'!E51=Agendamento!$C$7),"x",""))))</f>
        <v/>
      </c>
      <c r="I51" s="13" t="str">
        <f>IF(H51="x",COUNT($I$1:I50)+1,"")</f>
        <v/>
      </c>
      <c r="M51" s="26"/>
    </row>
    <row r="52" spans="1:13" x14ac:dyDescent="0.25">
      <c r="A52" s="27"/>
      <c r="B52" s="28"/>
      <c r="C52" s="29"/>
      <c r="D52" s="29"/>
      <c r="E52" s="28"/>
      <c r="F52" s="13" t="str">
        <f>IF(A52="","",IF(A52=Agendamento!$C$3,"x",""))</f>
        <v/>
      </c>
      <c r="G52" s="13" t="str">
        <f>IF(A52="","",IF(E52=Agendamento!$C$7,"x",""))</f>
        <v/>
      </c>
      <c r="H52" s="13" t="str">
        <f>IF(A52="","",IF(AND(Agendamento!$C$3="",Agendamento!$C$7&lt;&gt;""),IF(Agendamento!$C$7='Base de Dados'!E52,"x",""),IF(AND(Agendamento!$C$3&lt;&gt;"",Agendamento!$C$7=""),IF(Agendamento!$C$3='Base de Dados'!A52,"x",""),IF(AND(Agendamento!$C$3='Base de Dados'!A52,'Base de Dados'!E52=Agendamento!$C$7),"x",""))))</f>
        <v/>
      </c>
      <c r="I52" s="13" t="str">
        <f>IF(H52="x",COUNT($I$1:I51)+1,"")</f>
        <v/>
      </c>
      <c r="M52" s="26"/>
    </row>
    <row r="53" spans="1:13" x14ac:dyDescent="0.25">
      <c r="A53" s="27"/>
      <c r="B53" s="28"/>
      <c r="C53" s="29"/>
      <c r="D53" s="29"/>
      <c r="E53" s="28"/>
      <c r="F53" s="13" t="str">
        <f>IF(A53="","",IF(A53=Agendamento!$C$3,"x",""))</f>
        <v/>
      </c>
      <c r="G53" s="13" t="str">
        <f>IF(A53="","",IF(E53=Agendamento!$C$7,"x",""))</f>
        <v/>
      </c>
      <c r="H53" s="13" t="str">
        <f>IF(A53="","",IF(AND(Agendamento!$C$3="",Agendamento!$C$7&lt;&gt;""),IF(Agendamento!$C$7='Base de Dados'!E53,"x",""),IF(AND(Agendamento!$C$3&lt;&gt;"",Agendamento!$C$7=""),IF(Agendamento!$C$3='Base de Dados'!A53,"x",""),IF(AND(Agendamento!$C$3='Base de Dados'!A53,'Base de Dados'!E53=Agendamento!$C$7),"x",""))))</f>
        <v/>
      </c>
      <c r="I53" s="13" t="str">
        <f>IF(H53="x",COUNT($I$1:I52)+1,"")</f>
        <v/>
      </c>
      <c r="M53" s="26"/>
    </row>
    <row r="54" spans="1:13" x14ac:dyDescent="0.25">
      <c r="A54" s="27"/>
      <c r="B54" s="28"/>
      <c r="C54" s="29"/>
      <c r="D54" s="29"/>
      <c r="E54" s="28"/>
      <c r="F54" s="13" t="str">
        <f>IF(A54="","",IF(A54=Agendamento!$C$3,"x",""))</f>
        <v/>
      </c>
      <c r="G54" s="13" t="str">
        <f>IF(A54="","",IF(E54=Agendamento!$C$7,"x",""))</f>
        <v/>
      </c>
      <c r="H54" s="13" t="str">
        <f>IF(A54="","",IF(AND(Agendamento!$C$3="",Agendamento!$C$7&lt;&gt;""),IF(Agendamento!$C$7='Base de Dados'!E54,"x",""),IF(AND(Agendamento!$C$3&lt;&gt;"",Agendamento!$C$7=""),IF(Agendamento!$C$3='Base de Dados'!A54,"x",""),IF(AND(Agendamento!$C$3='Base de Dados'!A54,'Base de Dados'!E54=Agendamento!$C$7),"x",""))))</f>
        <v/>
      </c>
      <c r="I54" s="13" t="str">
        <f>IF(H54="x",COUNT($I$1:I53)+1,"")</f>
        <v/>
      </c>
      <c r="M54" s="26"/>
    </row>
    <row r="55" spans="1:13" x14ac:dyDescent="0.25">
      <c r="A55" s="27"/>
      <c r="B55" s="28"/>
      <c r="C55" s="29"/>
      <c r="D55" s="29"/>
      <c r="E55" s="28"/>
      <c r="F55" s="13" t="str">
        <f>IF(A55="","",IF(A55=Agendamento!$C$3,"x",""))</f>
        <v/>
      </c>
      <c r="G55" s="13" t="str">
        <f>IF(A55="","",IF(E55=Agendamento!$C$7,"x",""))</f>
        <v/>
      </c>
      <c r="H55" s="13" t="str">
        <f>IF(A55="","",IF(AND(Agendamento!$C$3="",Agendamento!$C$7&lt;&gt;""),IF(Agendamento!$C$7='Base de Dados'!E55,"x",""),IF(AND(Agendamento!$C$3&lt;&gt;"",Agendamento!$C$7=""),IF(Agendamento!$C$3='Base de Dados'!A55,"x",""),IF(AND(Agendamento!$C$3='Base de Dados'!A55,'Base de Dados'!E55=Agendamento!$C$7),"x",""))))</f>
        <v/>
      </c>
      <c r="I55" s="13" t="str">
        <f>IF(H55="x",COUNT($I$1:I54)+1,"")</f>
        <v/>
      </c>
      <c r="M55" s="26"/>
    </row>
    <row r="56" spans="1:13" x14ac:dyDescent="0.25">
      <c r="A56" s="27"/>
      <c r="B56" s="28"/>
      <c r="C56" s="29"/>
      <c r="D56" s="29"/>
      <c r="E56" s="28"/>
      <c r="F56" s="13" t="str">
        <f>IF(A56="","",IF(A56=Agendamento!$C$3,"x",""))</f>
        <v/>
      </c>
      <c r="G56" s="13" t="str">
        <f>IF(A56="","",IF(E56=Agendamento!$C$7,"x",""))</f>
        <v/>
      </c>
      <c r="H56" s="13" t="str">
        <f>IF(A56="","",IF(AND(Agendamento!$C$3="",Agendamento!$C$7&lt;&gt;""),IF(Agendamento!$C$7='Base de Dados'!E56,"x",""),IF(AND(Agendamento!$C$3&lt;&gt;"",Agendamento!$C$7=""),IF(Agendamento!$C$3='Base de Dados'!A56,"x",""),IF(AND(Agendamento!$C$3='Base de Dados'!A56,'Base de Dados'!E56=Agendamento!$C$7),"x",""))))</f>
        <v/>
      </c>
      <c r="I56" s="13" t="str">
        <f>IF(H56="x",COUNT($I$1:I55)+1,"")</f>
        <v/>
      </c>
      <c r="M56" s="26"/>
    </row>
    <row r="57" spans="1:13" x14ac:dyDescent="0.25">
      <c r="A57" s="27"/>
      <c r="B57" s="28"/>
      <c r="C57" s="29"/>
      <c r="D57" s="29"/>
      <c r="E57" s="28"/>
      <c r="F57" s="13" t="str">
        <f>IF(A57="","",IF(A57=Agendamento!$C$3,"x",""))</f>
        <v/>
      </c>
      <c r="G57" s="13" t="str">
        <f>IF(A57="","",IF(E57=Agendamento!$C$7,"x",""))</f>
        <v/>
      </c>
      <c r="H57" s="13" t="str">
        <f>IF(A57="","",IF(AND(Agendamento!$C$3="",Agendamento!$C$7&lt;&gt;""),IF(Agendamento!$C$7='Base de Dados'!E57,"x",""),IF(AND(Agendamento!$C$3&lt;&gt;"",Agendamento!$C$7=""),IF(Agendamento!$C$3='Base de Dados'!A57,"x",""),IF(AND(Agendamento!$C$3='Base de Dados'!A57,'Base de Dados'!E57=Agendamento!$C$7),"x",""))))</f>
        <v/>
      </c>
      <c r="I57" s="13" t="str">
        <f>IF(H57="x",COUNT($I$1:I56)+1,"")</f>
        <v/>
      </c>
      <c r="M57" s="26"/>
    </row>
    <row r="58" spans="1:13" x14ac:dyDescent="0.25">
      <c r="A58" s="27"/>
      <c r="B58" s="28"/>
      <c r="C58" s="29"/>
      <c r="D58" s="29"/>
      <c r="E58" s="28"/>
      <c r="F58" s="13" t="str">
        <f>IF(A58="","",IF(A58=Agendamento!$C$3,"x",""))</f>
        <v/>
      </c>
      <c r="G58" s="13" t="str">
        <f>IF(A58="","",IF(E58=Agendamento!$C$7,"x",""))</f>
        <v/>
      </c>
      <c r="H58" s="13" t="str">
        <f>IF(A58="","",IF(AND(Agendamento!$C$3="",Agendamento!$C$7&lt;&gt;""),IF(Agendamento!$C$7='Base de Dados'!E58,"x",""),IF(AND(Agendamento!$C$3&lt;&gt;"",Agendamento!$C$7=""),IF(Agendamento!$C$3='Base de Dados'!A58,"x",""),IF(AND(Agendamento!$C$3='Base de Dados'!A58,'Base de Dados'!E58=Agendamento!$C$7),"x",""))))</f>
        <v/>
      </c>
      <c r="I58" s="13" t="str">
        <f>IF(H58="x",COUNT($I$1:I57)+1,"")</f>
        <v/>
      </c>
      <c r="M58" s="26"/>
    </row>
    <row r="59" spans="1:13" x14ac:dyDescent="0.25">
      <c r="A59" s="27"/>
      <c r="B59" s="28"/>
      <c r="C59" s="29"/>
      <c r="D59" s="29"/>
      <c r="E59" s="28"/>
      <c r="F59" s="13" t="str">
        <f>IF(A59="","",IF(A59=Agendamento!$C$3,"x",""))</f>
        <v/>
      </c>
      <c r="G59" s="13" t="str">
        <f>IF(A59="","",IF(E59=Agendamento!$C$7,"x",""))</f>
        <v/>
      </c>
      <c r="H59" s="13" t="str">
        <f>IF(A59="","",IF(AND(Agendamento!$C$3="",Agendamento!$C$7&lt;&gt;""),IF(Agendamento!$C$7='Base de Dados'!E59,"x",""),IF(AND(Agendamento!$C$3&lt;&gt;"",Agendamento!$C$7=""),IF(Agendamento!$C$3='Base de Dados'!A59,"x",""),IF(AND(Agendamento!$C$3='Base de Dados'!A59,'Base de Dados'!E59=Agendamento!$C$7),"x",""))))</f>
        <v/>
      </c>
      <c r="I59" s="13" t="str">
        <f>IF(H59="x",COUNT($I$1:I58)+1,"")</f>
        <v/>
      </c>
      <c r="M59" s="26"/>
    </row>
    <row r="60" spans="1:13" x14ac:dyDescent="0.25">
      <c r="A60" s="27"/>
      <c r="B60" s="28"/>
      <c r="C60" s="29"/>
      <c r="D60" s="29"/>
      <c r="E60" s="28"/>
      <c r="F60" s="13" t="str">
        <f>IF(A60="","",IF(A60=Agendamento!$C$3,"x",""))</f>
        <v/>
      </c>
      <c r="G60" s="13" t="str">
        <f>IF(A60="","",IF(E60=Agendamento!$C$7,"x",""))</f>
        <v/>
      </c>
      <c r="H60" s="13" t="str">
        <f>IF(A60="","",IF(AND(Agendamento!$C$3="",Agendamento!$C$7&lt;&gt;""),IF(Agendamento!$C$7='Base de Dados'!E60,"x",""),IF(AND(Agendamento!$C$3&lt;&gt;"",Agendamento!$C$7=""),IF(Agendamento!$C$3='Base de Dados'!A60,"x",""),IF(AND(Agendamento!$C$3='Base de Dados'!A60,'Base de Dados'!E60=Agendamento!$C$7),"x",""))))</f>
        <v/>
      </c>
      <c r="I60" s="13" t="str">
        <f>IF(H60="x",COUNT($I$1:I59)+1,"")</f>
        <v/>
      </c>
      <c r="M60" s="26"/>
    </row>
    <row r="61" spans="1:13" x14ac:dyDescent="0.25">
      <c r="A61" s="27"/>
      <c r="B61" s="28"/>
      <c r="C61" s="29"/>
      <c r="D61" s="29"/>
      <c r="E61" s="28"/>
      <c r="F61" s="13" t="str">
        <f>IF(A61="","",IF(A61=Agendamento!$C$3,"x",""))</f>
        <v/>
      </c>
      <c r="G61" s="13" t="str">
        <f>IF(A61="","",IF(E61=Agendamento!$C$7,"x",""))</f>
        <v/>
      </c>
      <c r="H61" s="13" t="str">
        <f>IF(A61="","",IF(AND(Agendamento!$C$3="",Agendamento!$C$7&lt;&gt;""),IF(Agendamento!$C$7='Base de Dados'!E61,"x",""),IF(AND(Agendamento!$C$3&lt;&gt;"",Agendamento!$C$7=""),IF(Agendamento!$C$3='Base de Dados'!A61,"x",""),IF(AND(Agendamento!$C$3='Base de Dados'!A61,'Base de Dados'!E61=Agendamento!$C$7),"x",""))))</f>
        <v/>
      </c>
      <c r="I61" s="13" t="str">
        <f>IF(H61="x",COUNT($I$1:I60)+1,"")</f>
        <v/>
      </c>
      <c r="M61" s="26"/>
    </row>
    <row r="62" spans="1:13" x14ac:dyDescent="0.25">
      <c r="A62" s="27"/>
      <c r="B62" s="28"/>
      <c r="C62" s="29"/>
      <c r="D62" s="29"/>
      <c r="E62" s="28"/>
      <c r="F62" s="13" t="str">
        <f>IF(A62="","",IF(A62=Agendamento!$C$3,"x",""))</f>
        <v/>
      </c>
      <c r="G62" s="13" t="str">
        <f>IF(A62="","",IF(E62=Agendamento!$C$7,"x",""))</f>
        <v/>
      </c>
      <c r="H62" s="13" t="str">
        <f>IF(A62="","",IF(AND(Agendamento!$C$3="",Agendamento!$C$7&lt;&gt;""),IF(Agendamento!$C$7='Base de Dados'!E62,"x",""),IF(AND(Agendamento!$C$3&lt;&gt;"",Agendamento!$C$7=""),IF(Agendamento!$C$3='Base de Dados'!A62,"x",""),IF(AND(Agendamento!$C$3='Base de Dados'!A62,'Base de Dados'!E62=Agendamento!$C$7),"x",""))))</f>
        <v/>
      </c>
      <c r="I62" s="13" t="str">
        <f>IF(H62="x",COUNT($I$1:I61)+1,"")</f>
        <v/>
      </c>
      <c r="M62" s="26"/>
    </row>
    <row r="63" spans="1:13" x14ac:dyDescent="0.25">
      <c r="A63" s="27"/>
      <c r="B63" s="28"/>
      <c r="C63" s="29"/>
      <c r="D63" s="29"/>
      <c r="E63" s="28"/>
      <c r="F63" s="13" t="str">
        <f>IF(A63="","",IF(A63=Agendamento!$C$3,"x",""))</f>
        <v/>
      </c>
      <c r="G63" s="13" t="str">
        <f>IF(A63="","",IF(E63=Agendamento!$C$7,"x",""))</f>
        <v/>
      </c>
      <c r="H63" s="13" t="str">
        <f>IF(A63="","",IF(AND(Agendamento!$C$3="",Agendamento!$C$7&lt;&gt;""),IF(Agendamento!$C$7='Base de Dados'!E63,"x",""),IF(AND(Agendamento!$C$3&lt;&gt;"",Agendamento!$C$7=""),IF(Agendamento!$C$3='Base de Dados'!A63,"x",""),IF(AND(Agendamento!$C$3='Base de Dados'!A63,'Base de Dados'!E63=Agendamento!$C$7),"x",""))))</f>
        <v/>
      </c>
      <c r="I63" s="13" t="str">
        <f>IF(H63="x",COUNT($I$1:I62)+1,"")</f>
        <v/>
      </c>
      <c r="M63" s="26"/>
    </row>
    <row r="64" spans="1:13" x14ac:dyDescent="0.25">
      <c r="A64" s="27"/>
      <c r="B64" s="28"/>
      <c r="C64" s="29"/>
      <c r="D64" s="29"/>
      <c r="E64" s="28"/>
      <c r="F64" s="13" t="str">
        <f>IF(A64="","",IF(A64=Agendamento!$C$3,"x",""))</f>
        <v/>
      </c>
      <c r="G64" s="13" t="str">
        <f>IF(A64="","",IF(E64=Agendamento!$C$7,"x",""))</f>
        <v/>
      </c>
      <c r="H64" s="13" t="str">
        <f>IF(A64="","",IF(AND(Agendamento!$C$3="",Agendamento!$C$7&lt;&gt;""),IF(Agendamento!$C$7='Base de Dados'!E64,"x",""),IF(AND(Agendamento!$C$3&lt;&gt;"",Agendamento!$C$7=""),IF(Agendamento!$C$3='Base de Dados'!A64,"x",""),IF(AND(Agendamento!$C$3='Base de Dados'!A64,'Base de Dados'!E64=Agendamento!$C$7),"x",""))))</f>
        <v/>
      </c>
      <c r="I64" s="13" t="str">
        <f>IF(H64="x",COUNT($I$1:I63)+1,"")</f>
        <v/>
      </c>
      <c r="M64" s="26"/>
    </row>
    <row r="65" spans="1:13" x14ac:dyDescent="0.25">
      <c r="A65" s="27"/>
      <c r="B65" s="28"/>
      <c r="C65" s="29"/>
      <c r="D65" s="29"/>
      <c r="E65" s="28"/>
      <c r="F65" s="13" t="str">
        <f>IF(A65="","",IF(A65=Agendamento!$C$3,"x",""))</f>
        <v/>
      </c>
      <c r="G65" s="13" t="str">
        <f>IF(A65="","",IF(E65=Agendamento!$C$7,"x",""))</f>
        <v/>
      </c>
      <c r="H65" s="13" t="str">
        <f>IF(A65="","",IF(AND(Agendamento!$C$3="",Agendamento!$C$7&lt;&gt;""),IF(Agendamento!$C$7='Base de Dados'!E65,"x",""),IF(AND(Agendamento!$C$3&lt;&gt;"",Agendamento!$C$7=""),IF(Agendamento!$C$3='Base de Dados'!A65,"x",""),IF(AND(Agendamento!$C$3='Base de Dados'!A65,'Base de Dados'!E65=Agendamento!$C$7),"x",""))))</f>
        <v/>
      </c>
      <c r="I65" s="13" t="str">
        <f>IF(H65="x",COUNT($I$1:I64)+1,"")</f>
        <v/>
      </c>
      <c r="M65" s="26"/>
    </row>
    <row r="66" spans="1:13" x14ac:dyDescent="0.25">
      <c r="A66" s="27"/>
      <c r="B66" s="28"/>
      <c r="C66" s="29"/>
      <c r="D66" s="29"/>
      <c r="E66" s="28"/>
      <c r="F66" s="13" t="str">
        <f>IF(A66="","",IF(A66=Agendamento!$C$3,"x",""))</f>
        <v/>
      </c>
      <c r="G66" s="13" t="str">
        <f>IF(A66="","",IF(E66=Agendamento!$C$7,"x",""))</f>
        <v/>
      </c>
      <c r="H66" s="13" t="str">
        <f>IF(A66="","",IF(AND(Agendamento!$C$3="",Agendamento!$C$7&lt;&gt;""),IF(Agendamento!$C$7='Base de Dados'!E66,"x",""),IF(AND(Agendamento!$C$3&lt;&gt;"",Agendamento!$C$7=""),IF(Agendamento!$C$3='Base de Dados'!A66,"x",""),IF(AND(Agendamento!$C$3='Base de Dados'!A66,'Base de Dados'!E66=Agendamento!$C$7),"x",""))))</f>
        <v/>
      </c>
      <c r="I66" s="13" t="str">
        <f>IF(H66="x",COUNT($I$1:I65)+1,"")</f>
        <v/>
      </c>
      <c r="M66" s="26"/>
    </row>
    <row r="67" spans="1:13" x14ac:dyDescent="0.25">
      <c r="A67" s="27"/>
      <c r="B67" s="28"/>
      <c r="C67" s="29"/>
      <c r="D67" s="29"/>
      <c r="E67" s="28"/>
      <c r="F67" s="13" t="str">
        <f>IF(A67="","",IF(A67=Agendamento!$C$3,"x",""))</f>
        <v/>
      </c>
      <c r="G67" s="13" t="str">
        <f>IF(A67="","",IF(E67=Agendamento!$C$7,"x",""))</f>
        <v/>
      </c>
      <c r="H67" s="13" t="str">
        <f>IF(A67="","",IF(AND(Agendamento!$C$3="",Agendamento!$C$7&lt;&gt;""),IF(Agendamento!$C$7='Base de Dados'!E67,"x",""),IF(AND(Agendamento!$C$3&lt;&gt;"",Agendamento!$C$7=""),IF(Agendamento!$C$3='Base de Dados'!A67,"x",""),IF(AND(Agendamento!$C$3='Base de Dados'!A67,'Base de Dados'!E67=Agendamento!$C$7),"x",""))))</f>
        <v/>
      </c>
      <c r="I67" s="13" t="str">
        <f>IF(H67="x",COUNT($I$1:I66)+1,"")</f>
        <v/>
      </c>
      <c r="M67" s="26"/>
    </row>
    <row r="68" spans="1:13" x14ac:dyDescent="0.25">
      <c r="A68" s="27"/>
      <c r="B68" s="28"/>
      <c r="C68" s="29"/>
      <c r="D68" s="29"/>
      <c r="E68" s="28"/>
      <c r="F68" s="13" t="str">
        <f>IF(A68="","",IF(A68=Agendamento!$C$3,"x",""))</f>
        <v/>
      </c>
      <c r="G68" s="13" t="str">
        <f>IF(A68="","",IF(E68=Agendamento!$C$7,"x",""))</f>
        <v/>
      </c>
      <c r="H68" s="13" t="str">
        <f>IF(A68="","",IF(AND(Agendamento!$C$3="",Agendamento!$C$7&lt;&gt;""),IF(Agendamento!$C$7='Base de Dados'!E68,"x",""),IF(AND(Agendamento!$C$3&lt;&gt;"",Agendamento!$C$7=""),IF(Agendamento!$C$3='Base de Dados'!A68,"x",""),IF(AND(Agendamento!$C$3='Base de Dados'!A68,'Base de Dados'!E68=Agendamento!$C$7),"x",""))))</f>
        <v/>
      </c>
      <c r="I68" s="13" t="str">
        <f>IF(H68="x",COUNT($I$1:I67)+1,"")</f>
        <v/>
      </c>
      <c r="M68" s="26"/>
    </row>
    <row r="69" spans="1:13" x14ac:dyDescent="0.25">
      <c r="A69" s="27"/>
      <c r="B69" s="28"/>
      <c r="C69" s="29"/>
      <c r="D69" s="29"/>
      <c r="E69" s="28"/>
      <c r="F69" s="13" t="str">
        <f>IF(A69="","",IF(A69=Agendamento!$C$3,"x",""))</f>
        <v/>
      </c>
      <c r="G69" s="13" t="str">
        <f>IF(A69="","",IF(E69=Agendamento!$C$7,"x",""))</f>
        <v/>
      </c>
      <c r="H69" s="13" t="str">
        <f>IF(A69="","",IF(AND(Agendamento!$C$3="",Agendamento!$C$7&lt;&gt;""),IF(Agendamento!$C$7='Base de Dados'!E69,"x",""),IF(AND(Agendamento!$C$3&lt;&gt;"",Agendamento!$C$7=""),IF(Agendamento!$C$3='Base de Dados'!A69,"x",""),IF(AND(Agendamento!$C$3='Base de Dados'!A69,'Base de Dados'!E69=Agendamento!$C$7),"x",""))))</f>
        <v/>
      </c>
      <c r="I69" s="13" t="str">
        <f>IF(H69="x",COUNT($I$1:I68)+1,"")</f>
        <v/>
      </c>
      <c r="M69" s="26"/>
    </row>
    <row r="70" spans="1:13" x14ac:dyDescent="0.25">
      <c r="A70" s="27"/>
      <c r="B70" s="28"/>
      <c r="C70" s="29"/>
      <c r="D70" s="29"/>
      <c r="E70" s="28"/>
      <c r="F70" s="13" t="str">
        <f>IF(A70="","",IF(A70=Agendamento!$C$3,"x",""))</f>
        <v/>
      </c>
      <c r="G70" s="13" t="str">
        <f>IF(A70="","",IF(E70=Agendamento!$C$7,"x",""))</f>
        <v/>
      </c>
      <c r="H70" s="13" t="str">
        <f>IF(A70="","",IF(AND(Agendamento!$C$3="",Agendamento!$C$7&lt;&gt;""),IF(Agendamento!$C$7='Base de Dados'!E70,"x",""),IF(AND(Agendamento!$C$3&lt;&gt;"",Agendamento!$C$7=""),IF(Agendamento!$C$3='Base de Dados'!A70,"x",""),IF(AND(Agendamento!$C$3='Base de Dados'!A70,'Base de Dados'!E70=Agendamento!$C$7),"x",""))))</f>
        <v/>
      </c>
      <c r="I70" s="13" t="str">
        <f>IF(H70="x",COUNT($I$1:I69)+1,"")</f>
        <v/>
      </c>
      <c r="M70" s="26"/>
    </row>
    <row r="71" spans="1:13" x14ac:dyDescent="0.25">
      <c r="A71" s="27"/>
      <c r="B71" s="28"/>
      <c r="C71" s="29"/>
      <c r="D71" s="29"/>
      <c r="E71" s="28"/>
      <c r="F71" s="13" t="str">
        <f>IF(A71="","",IF(A71=Agendamento!$C$3,"x",""))</f>
        <v/>
      </c>
      <c r="G71" s="13" t="str">
        <f>IF(A71="","",IF(E71=Agendamento!$C$7,"x",""))</f>
        <v/>
      </c>
      <c r="H71" s="13" t="str">
        <f>IF(A71="","",IF(AND(Agendamento!$C$3="",Agendamento!$C$7&lt;&gt;""),IF(Agendamento!$C$7='Base de Dados'!E71,"x",""),IF(AND(Agendamento!$C$3&lt;&gt;"",Agendamento!$C$7=""),IF(Agendamento!$C$3='Base de Dados'!A71,"x",""),IF(AND(Agendamento!$C$3='Base de Dados'!A71,'Base de Dados'!E71=Agendamento!$C$7),"x",""))))</f>
        <v/>
      </c>
      <c r="I71" s="13" t="str">
        <f>IF(H71="x",COUNT($I$1:I70)+1,"")</f>
        <v/>
      </c>
      <c r="M71" s="26"/>
    </row>
    <row r="72" spans="1:13" x14ac:dyDescent="0.25">
      <c r="A72" s="27"/>
      <c r="B72" s="28"/>
      <c r="C72" s="29"/>
      <c r="D72" s="29"/>
      <c r="E72" s="28"/>
      <c r="F72" s="13" t="str">
        <f>IF(A72="","",IF(A72=Agendamento!$C$3,"x",""))</f>
        <v/>
      </c>
      <c r="G72" s="13" t="str">
        <f>IF(A72="","",IF(E72=Agendamento!$C$7,"x",""))</f>
        <v/>
      </c>
      <c r="H72" s="13" t="str">
        <f>IF(A72="","",IF(AND(Agendamento!$C$3="",Agendamento!$C$7&lt;&gt;""),IF(Agendamento!$C$7='Base de Dados'!E72,"x",""),IF(AND(Agendamento!$C$3&lt;&gt;"",Agendamento!$C$7=""),IF(Agendamento!$C$3='Base de Dados'!A72,"x",""),IF(AND(Agendamento!$C$3='Base de Dados'!A72,'Base de Dados'!E72=Agendamento!$C$7),"x",""))))</f>
        <v/>
      </c>
      <c r="I72" s="13" t="str">
        <f>IF(H72="x",COUNT($I$1:I71)+1,"")</f>
        <v/>
      </c>
      <c r="M72" s="26"/>
    </row>
    <row r="73" spans="1:13" x14ac:dyDescent="0.25">
      <c r="A73" s="27"/>
      <c r="B73" s="28"/>
      <c r="C73" s="29"/>
      <c r="D73" s="29"/>
      <c r="E73" s="28"/>
      <c r="F73" s="13" t="str">
        <f>IF(A73="","",IF(A73=Agendamento!$C$3,"x",""))</f>
        <v/>
      </c>
      <c r="G73" s="13" t="str">
        <f>IF(A73="","",IF(E73=Agendamento!$C$7,"x",""))</f>
        <v/>
      </c>
      <c r="H73" s="13" t="str">
        <f>IF(A73="","",IF(AND(Agendamento!$C$3="",Agendamento!$C$7&lt;&gt;""),IF(Agendamento!$C$7='Base de Dados'!E73,"x",""),IF(AND(Agendamento!$C$3&lt;&gt;"",Agendamento!$C$7=""),IF(Agendamento!$C$3='Base de Dados'!A73,"x",""),IF(AND(Agendamento!$C$3='Base de Dados'!A73,'Base de Dados'!E73=Agendamento!$C$7),"x",""))))</f>
        <v/>
      </c>
      <c r="I73" s="13" t="str">
        <f>IF(H73="x",COUNT($I$1:I72)+1,"")</f>
        <v/>
      </c>
      <c r="M73" s="26"/>
    </row>
    <row r="74" spans="1:13" x14ac:dyDescent="0.25">
      <c r="A74" s="27"/>
      <c r="B74" s="28"/>
      <c r="C74" s="29"/>
      <c r="D74" s="29"/>
      <c r="E74" s="28"/>
      <c r="F74" s="13" t="str">
        <f>IF(A74="","",IF(A74=Agendamento!$C$3,"x",""))</f>
        <v/>
      </c>
      <c r="G74" s="13" t="str">
        <f>IF(A74="","",IF(E74=Agendamento!$C$7,"x",""))</f>
        <v/>
      </c>
      <c r="H74" s="13" t="str">
        <f>IF(A74="","",IF(AND(Agendamento!$C$3="",Agendamento!$C$7&lt;&gt;""),IF(Agendamento!$C$7='Base de Dados'!E74,"x",""),IF(AND(Agendamento!$C$3&lt;&gt;"",Agendamento!$C$7=""),IF(Agendamento!$C$3='Base de Dados'!A74,"x",""),IF(AND(Agendamento!$C$3='Base de Dados'!A74,'Base de Dados'!E74=Agendamento!$C$7),"x",""))))</f>
        <v/>
      </c>
      <c r="I74" s="13" t="str">
        <f>IF(H74="x",COUNT($I$1:I73)+1,"")</f>
        <v/>
      </c>
      <c r="M74" s="26"/>
    </row>
    <row r="75" spans="1:13" x14ac:dyDescent="0.25">
      <c r="A75" s="27"/>
      <c r="B75" s="28"/>
      <c r="C75" s="29"/>
      <c r="D75" s="29"/>
      <c r="E75" s="28"/>
      <c r="F75" s="13" t="str">
        <f>IF(A75="","",IF(A75=Agendamento!$C$3,"x",""))</f>
        <v/>
      </c>
      <c r="G75" s="13" t="str">
        <f>IF(A75="","",IF(E75=Agendamento!$C$7,"x",""))</f>
        <v/>
      </c>
      <c r="H75" s="13" t="str">
        <f>IF(A75="","",IF(AND(Agendamento!$C$3="",Agendamento!$C$7&lt;&gt;""),IF(Agendamento!$C$7='Base de Dados'!E75,"x",""),IF(AND(Agendamento!$C$3&lt;&gt;"",Agendamento!$C$7=""),IF(Agendamento!$C$3='Base de Dados'!A75,"x",""),IF(AND(Agendamento!$C$3='Base de Dados'!A75,'Base de Dados'!E75=Agendamento!$C$7),"x",""))))</f>
        <v/>
      </c>
      <c r="I75" s="13" t="str">
        <f>IF(H75="x",COUNT($I$1:I74)+1,"")</f>
        <v/>
      </c>
      <c r="M75" s="26"/>
    </row>
    <row r="76" spans="1:13" x14ac:dyDescent="0.25">
      <c r="A76" s="27"/>
      <c r="B76" s="28"/>
      <c r="C76" s="29"/>
      <c r="D76" s="29"/>
      <c r="E76" s="28"/>
      <c r="F76" s="13" t="str">
        <f>IF(A76="","",IF(A76=Agendamento!$C$3,"x",""))</f>
        <v/>
      </c>
      <c r="G76" s="13" t="str">
        <f>IF(A76="","",IF(E76=Agendamento!$C$7,"x",""))</f>
        <v/>
      </c>
      <c r="H76" s="13" t="str">
        <f>IF(A76="","",IF(AND(Agendamento!$C$3="",Agendamento!$C$7&lt;&gt;""),IF(Agendamento!$C$7='Base de Dados'!E76,"x",""),IF(AND(Agendamento!$C$3&lt;&gt;"",Agendamento!$C$7=""),IF(Agendamento!$C$3='Base de Dados'!A76,"x",""),IF(AND(Agendamento!$C$3='Base de Dados'!A76,'Base de Dados'!E76=Agendamento!$C$7),"x",""))))</f>
        <v/>
      </c>
      <c r="I76" s="13" t="str">
        <f>IF(H76="x",COUNT($I$1:I75)+1,"")</f>
        <v/>
      </c>
      <c r="M76" s="26"/>
    </row>
    <row r="77" spans="1:13" x14ac:dyDescent="0.25">
      <c r="A77" s="27"/>
      <c r="B77" s="28"/>
      <c r="C77" s="29"/>
      <c r="D77" s="29"/>
      <c r="E77" s="28"/>
      <c r="F77" s="13" t="str">
        <f>IF(A77="","",IF(A77=Agendamento!$C$3,"x",""))</f>
        <v/>
      </c>
      <c r="G77" s="13" t="str">
        <f>IF(A77="","",IF(E77=Agendamento!$C$7,"x",""))</f>
        <v/>
      </c>
      <c r="H77" s="13" t="str">
        <f>IF(A77="","",IF(AND(Agendamento!$C$3="",Agendamento!$C$7&lt;&gt;""),IF(Agendamento!$C$7='Base de Dados'!E77,"x",""),IF(AND(Agendamento!$C$3&lt;&gt;"",Agendamento!$C$7=""),IF(Agendamento!$C$3='Base de Dados'!A77,"x",""),IF(AND(Agendamento!$C$3='Base de Dados'!A77,'Base de Dados'!E77=Agendamento!$C$7),"x",""))))</f>
        <v/>
      </c>
      <c r="I77" s="13" t="str">
        <f>IF(H77="x",COUNT($I$1:I76)+1,"")</f>
        <v/>
      </c>
      <c r="M77" s="26"/>
    </row>
    <row r="78" spans="1:13" x14ac:dyDescent="0.25">
      <c r="A78" s="27"/>
      <c r="B78" s="28"/>
      <c r="C78" s="29"/>
      <c r="D78" s="29"/>
      <c r="E78" s="28"/>
      <c r="F78" s="13" t="str">
        <f>IF(A78="","",IF(A78=Agendamento!$C$3,"x",""))</f>
        <v/>
      </c>
      <c r="G78" s="13" t="str">
        <f>IF(A78="","",IF(E78=Agendamento!$C$7,"x",""))</f>
        <v/>
      </c>
      <c r="H78" s="13" t="str">
        <f>IF(A78="","",IF(AND(Agendamento!$C$3="",Agendamento!$C$7&lt;&gt;""),IF(Agendamento!$C$7='Base de Dados'!E78,"x",""),IF(AND(Agendamento!$C$3&lt;&gt;"",Agendamento!$C$7=""),IF(Agendamento!$C$3='Base de Dados'!A78,"x",""),IF(AND(Agendamento!$C$3='Base de Dados'!A78,'Base de Dados'!E78=Agendamento!$C$7),"x",""))))</f>
        <v/>
      </c>
      <c r="I78" s="13" t="str">
        <f>IF(H78="x",COUNT($I$1:I77)+1,"")</f>
        <v/>
      </c>
      <c r="M78" s="26"/>
    </row>
    <row r="79" spans="1:13" x14ac:dyDescent="0.25">
      <c r="A79" s="27"/>
      <c r="B79" s="28"/>
      <c r="C79" s="29"/>
      <c r="D79" s="29"/>
      <c r="E79" s="28"/>
      <c r="F79" s="13" t="str">
        <f>IF(A79="","",IF(A79=Agendamento!$C$3,"x",""))</f>
        <v/>
      </c>
      <c r="G79" s="13" t="str">
        <f>IF(A79="","",IF(E79=Agendamento!$C$7,"x",""))</f>
        <v/>
      </c>
      <c r="H79" s="13" t="str">
        <f>IF(A79="","",IF(AND(Agendamento!$C$3="",Agendamento!$C$7&lt;&gt;""),IF(Agendamento!$C$7='Base de Dados'!E79,"x",""),IF(AND(Agendamento!$C$3&lt;&gt;"",Agendamento!$C$7=""),IF(Agendamento!$C$3='Base de Dados'!A79,"x",""),IF(AND(Agendamento!$C$3='Base de Dados'!A79,'Base de Dados'!E79=Agendamento!$C$7),"x",""))))</f>
        <v/>
      </c>
      <c r="I79" s="13" t="str">
        <f>IF(H79="x",COUNT($I$1:I78)+1,"")</f>
        <v/>
      </c>
      <c r="M79" s="26"/>
    </row>
    <row r="80" spans="1:13" x14ac:dyDescent="0.25">
      <c r="A80" s="27"/>
      <c r="B80" s="28"/>
      <c r="C80" s="29"/>
      <c r="D80" s="29"/>
      <c r="E80" s="28"/>
      <c r="F80" s="13" t="str">
        <f>IF(A80="","",IF(A80=Agendamento!$C$3,"x",""))</f>
        <v/>
      </c>
      <c r="G80" s="13" t="str">
        <f>IF(A80="","",IF(E80=Agendamento!$C$7,"x",""))</f>
        <v/>
      </c>
      <c r="H80" s="13" t="str">
        <f>IF(A80="","",IF(AND(Agendamento!$C$3="",Agendamento!$C$7&lt;&gt;""),IF(Agendamento!$C$7='Base de Dados'!E80,"x",""),IF(AND(Agendamento!$C$3&lt;&gt;"",Agendamento!$C$7=""),IF(Agendamento!$C$3='Base de Dados'!A80,"x",""),IF(AND(Agendamento!$C$3='Base de Dados'!A80,'Base de Dados'!E80=Agendamento!$C$7),"x",""))))</f>
        <v/>
      </c>
      <c r="I80" s="13" t="str">
        <f>IF(H80="x",COUNT($I$1:I79)+1,"")</f>
        <v/>
      </c>
      <c r="M80" s="26"/>
    </row>
    <row r="81" spans="1:13" x14ac:dyDescent="0.25">
      <c r="A81" s="27"/>
      <c r="B81" s="28"/>
      <c r="C81" s="29"/>
      <c r="D81" s="29"/>
      <c r="E81" s="28"/>
      <c r="F81" s="13" t="str">
        <f>IF(A81="","",IF(A81=Agendamento!$C$3,"x",""))</f>
        <v/>
      </c>
      <c r="G81" s="13" t="str">
        <f>IF(A81="","",IF(E81=Agendamento!$C$7,"x",""))</f>
        <v/>
      </c>
      <c r="H81" s="13" t="str">
        <f>IF(A81="","",IF(AND(Agendamento!$C$3="",Agendamento!$C$7&lt;&gt;""),IF(Agendamento!$C$7='Base de Dados'!E81,"x",""),IF(AND(Agendamento!$C$3&lt;&gt;"",Agendamento!$C$7=""),IF(Agendamento!$C$3='Base de Dados'!A81,"x",""),IF(AND(Agendamento!$C$3='Base de Dados'!A81,'Base de Dados'!E81=Agendamento!$C$7),"x",""))))</f>
        <v/>
      </c>
      <c r="I81" s="13" t="str">
        <f>IF(H81="x",COUNT($I$1:I80)+1,"")</f>
        <v/>
      </c>
      <c r="M81" s="26"/>
    </row>
    <row r="82" spans="1:13" x14ac:dyDescent="0.25">
      <c r="A82" s="27"/>
      <c r="B82" s="28"/>
      <c r="C82" s="29"/>
      <c r="D82" s="29"/>
      <c r="E82" s="28"/>
      <c r="F82" s="13" t="str">
        <f>IF(A82="","",IF(A82=Agendamento!$C$3,"x",""))</f>
        <v/>
      </c>
      <c r="G82" s="13" t="str">
        <f>IF(A82="","",IF(E82=Agendamento!$C$7,"x",""))</f>
        <v/>
      </c>
      <c r="H82" s="13" t="str">
        <f>IF(A82="","",IF(AND(Agendamento!$C$3="",Agendamento!$C$7&lt;&gt;""),IF(Agendamento!$C$7='Base de Dados'!E82,"x",""),IF(AND(Agendamento!$C$3&lt;&gt;"",Agendamento!$C$7=""),IF(Agendamento!$C$3='Base de Dados'!A82,"x",""),IF(AND(Agendamento!$C$3='Base de Dados'!A82,'Base de Dados'!E82=Agendamento!$C$7),"x",""))))</f>
        <v/>
      </c>
      <c r="I82" s="13" t="str">
        <f>IF(H82="x",COUNT($I$1:I81)+1,"")</f>
        <v/>
      </c>
      <c r="M82" s="26"/>
    </row>
    <row r="83" spans="1:13" x14ac:dyDescent="0.25">
      <c r="A83" s="27"/>
      <c r="B83" s="28"/>
      <c r="C83" s="29"/>
      <c r="D83" s="29"/>
      <c r="E83" s="28"/>
      <c r="F83" s="13" t="str">
        <f>IF(A83="","",IF(A83=Agendamento!$C$3,"x",""))</f>
        <v/>
      </c>
      <c r="G83" s="13" t="str">
        <f>IF(A83="","",IF(E83=Agendamento!$C$7,"x",""))</f>
        <v/>
      </c>
      <c r="H83" s="13" t="str">
        <f>IF(A83="","",IF(AND(Agendamento!$C$3="",Agendamento!$C$7&lt;&gt;""),IF(Agendamento!$C$7='Base de Dados'!E83,"x",""),IF(AND(Agendamento!$C$3&lt;&gt;"",Agendamento!$C$7=""),IF(Agendamento!$C$3='Base de Dados'!A83,"x",""),IF(AND(Agendamento!$C$3='Base de Dados'!A83,'Base de Dados'!E83=Agendamento!$C$7),"x",""))))</f>
        <v/>
      </c>
      <c r="I83" s="13" t="str">
        <f>IF(H83="x",COUNT($I$1:I82)+1,"")</f>
        <v/>
      </c>
      <c r="M83" s="26"/>
    </row>
    <row r="84" spans="1:13" x14ac:dyDescent="0.25">
      <c r="A84" s="27"/>
      <c r="B84" s="28"/>
      <c r="C84" s="29"/>
      <c r="D84" s="29"/>
      <c r="E84" s="28"/>
      <c r="F84" s="13" t="str">
        <f>IF(A84="","",IF(A84=Agendamento!$C$3,"x",""))</f>
        <v/>
      </c>
      <c r="G84" s="13" t="str">
        <f>IF(A84="","",IF(E84=Agendamento!$C$7,"x",""))</f>
        <v/>
      </c>
      <c r="H84" s="13" t="str">
        <f>IF(A84="","",IF(AND(Agendamento!$C$3="",Agendamento!$C$7&lt;&gt;""),IF(Agendamento!$C$7='Base de Dados'!E84,"x",""),IF(AND(Agendamento!$C$3&lt;&gt;"",Agendamento!$C$7=""),IF(Agendamento!$C$3='Base de Dados'!A84,"x",""),IF(AND(Agendamento!$C$3='Base de Dados'!A84,'Base de Dados'!E84=Agendamento!$C$7),"x",""))))</f>
        <v/>
      </c>
      <c r="I84" s="13" t="str">
        <f>IF(H84="x",COUNT($I$1:I83)+1,"")</f>
        <v/>
      </c>
      <c r="M84" s="26"/>
    </row>
    <row r="85" spans="1:13" x14ac:dyDescent="0.25">
      <c r="A85" s="27"/>
      <c r="B85" s="28"/>
      <c r="C85" s="29"/>
      <c r="D85" s="29"/>
      <c r="E85" s="28"/>
      <c r="F85" s="13" t="str">
        <f>IF(A85="","",IF(A85=Agendamento!$C$3,"x",""))</f>
        <v/>
      </c>
      <c r="G85" s="13" t="str">
        <f>IF(A85="","",IF(E85=Agendamento!$C$7,"x",""))</f>
        <v/>
      </c>
      <c r="H85" s="13" t="str">
        <f>IF(A85="","",IF(AND(Agendamento!$C$3="",Agendamento!$C$7&lt;&gt;""),IF(Agendamento!$C$7='Base de Dados'!E85,"x",""),IF(AND(Agendamento!$C$3&lt;&gt;"",Agendamento!$C$7=""),IF(Agendamento!$C$3='Base de Dados'!A85,"x",""),IF(AND(Agendamento!$C$3='Base de Dados'!A85,'Base de Dados'!E85=Agendamento!$C$7),"x",""))))</f>
        <v/>
      </c>
      <c r="I85" s="13" t="str">
        <f>IF(H85="x",COUNT($I$1:I84)+1,"")</f>
        <v/>
      </c>
      <c r="M85" s="26"/>
    </row>
    <row r="86" spans="1:13" x14ac:dyDescent="0.25">
      <c r="A86" s="27"/>
      <c r="B86" s="28"/>
      <c r="C86" s="29"/>
      <c r="D86" s="29"/>
      <c r="E86" s="28"/>
      <c r="F86" s="13" t="str">
        <f>IF(A86="","",IF(A86=Agendamento!$C$3,"x",""))</f>
        <v/>
      </c>
      <c r="G86" s="13" t="str">
        <f>IF(A86="","",IF(E86=Agendamento!$C$7,"x",""))</f>
        <v/>
      </c>
      <c r="H86" s="13" t="str">
        <f>IF(A86="","",IF(AND(Agendamento!$C$3="",Agendamento!$C$7&lt;&gt;""),IF(Agendamento!$C$7='Base de Dados'!E86,"x",""),IF(AND(Agendamento!$C$3&lt;&gt;"",Agendamento!$C$7=""),IF(Agendamento!$C$3='Base de Dados'!A86,"x",""),IF(AND(Agendamento!$C$3='Base de Dados'!A86,'Base de Dados'!E86=Agendamento!$C$7),"x",""))))</f>
        <v/>
      </c>
      <c r="I86" s="13" t="str">
        <f>IF(H86="x",COUNT($I$1:I85)+1,"")</f>
        <v/>
      </c>
      <c r="M86" s="26"/>
    </row>
    <row r="87" spans="1:13" x14ac:dyDescent="0.25">
      <c r="A87" s="27"/>
      <c r="B87" s="28"/>
      <c r="C87" s="29"/>
      <c r="D87" s="29"/>
      <c r="E87" s="28"/>
      <c r="F87" s="13" t="str">
        <f>IF(A87="","",IF(A87=Agendamento!$C$3,"x",""))</f>
        <v/>
      </c>
      <c r="G87" s="13" t="str">
        <f>IF(A87="","",IF(E87=Agendamento!$C$7,"x",""))</f>
        <v/>
      </c>
      <c r="H87" s="13" t="str">
        <f>IF(A87="","",IF(AND(Agendamento!$C$3="",Agendamento!$C$7&lt;&gt;""),IF(Agendamento!$C$7='Base de Dados'!E87,"x",""),IF(AND(Agendamento!$C$3&lt;&gt;"",Agendamento!$C$7=""),IF(Agendamento!$C$3='Base de Dados'!A87,"x",""),IF(AND(Agendamento!$C$3='Base de Dados'!A87,'Base de Dados'!E87=Agendamento!$C$7),"x",""))))</f>
        <v/>
      </c>
      <c r="I87" s="13" t="str">
        <f>IF(H87="x",COUNT($I$1:I86)+1,"")</f>
        <v/>
      </c>
      <c r="M87" s="26"/>
    </row>
    <row r="88" spans="1:13" x14ac:dyDescent="0.25">
      <c r="A88" s="27"/>
      <c r="B88" s="28"/>
      <c r="C88" s="29"/>
      <c r="D88" s="29"/>
      <c r="E88" s="28"/>
      <c r="F88" s="13" t="str">
        <f>IF(A88="","",IF(A88=Agendamento!$C$3,"x",""))</f>
        <v/>
      </c>
      <c r="G88" s="13" t="str">
        <f>IF(A88="","",IF(E88=Agendamento!$C$7,"x",""))</f>
        <v/>
      </c>
      <c r="H88" s="13" t="str">
        <f>IF(A88="","",IF(AND(Agendamento!$C$3="",Agendamento!$C$7&lt;&gt;""),IF(Agendamento!$C$7='Base de Dados'!E88,"x",""),IF(AND(Agendamento!$C$3&lt;&gt;"",Agendamento!$C$7=""),IF(Agendamento!$C$3='Base de Dados'!A88,"x",""),IF(AND(Agendamento!$C$3='Base de Dados'!A88,'Base de Dados'!E88=Agendamento!$C$7),"x",""))))</f>
        <v/>
      </c>
      <c r="I88" s="13" t="str">
        <f>IF(H88="x",COUNT($I$1:I87)+1,"")</f>
        <v/>
      </c>
      <c r="M88" s="26"/>
    </row>
    <row r="89" spans="1:13" x14ac:dyDescent="0.25">
      <c r="A89" s="27"/>
      <c r="B89" s="28"/>
      <c r="C89" s="29"/>
      <c r="D89" s="29"/>
      <c r="E89" s="28"/>
      <c r="F89" s="13" t="str">
        <f>IF(A89="","",IF(A89=Agendamento!$C$3,"x",""))</f>
        <v/>
      </c>
      <c r="G89" s="13" t="str">
        <f>IF(A89="","",IF(E89=Agendamento!$C$7,"x",""))</f>
        <v/>
      </c>
      <c r="H89" s="13" t="str">
        <f>IF(A89="","",IF(AND(Agendamento!$C$3="",Agendamento!$C$7&lt;&gt;""),IF(Agendamento!$C$7='Base de Dados'!E89,"x",""),IF(AND(Agendamento!$C$3&lt;&gt;"",Agendamento!$C$7=""),IF(Agendamento!$C$3='Base de Dados'!A89,"x",""),IF(AND(Agendamento!$C$3='Base de Dados'!A89,'Base de Dados'!E89=Agendamento!$C$7),"x",""))))</f>
        <v/>
      </c>
      <c r="I89" s="13" t="str">
        <f>IF(H89="x",COUNT($I$1:I88)+1,"")</f>
        <v/>
      </c>
      <c r="M89" s="26"/>
    </row>
    <row r="90" spans="1:13" x14ac:dyDescent="0.25">
      <c r="A90" s="27"/>
      <c r="B90" s="28"/>
      <c r="C90" s="29"/>
      <c r="D90" s="29"/>
      <c r="E90" s="28"/>
      <c r="F90" s="13" t="str">
        <f>IF(A90="","",IF(A90=Agendamento!$C$3,"x",""))</f>
        <v/>
      </c>
      <c r="G90" s="13" t="str">
        <f>IF(A90="","",IF(E90=Agendamento!$C$7,"x",""))</f>
        <v/>
      </c>
      <c r="H90" s="13" t="str">
        <f>IF(A90="","",IF(AND(Agendamento!$C$3="",Agendamento!$C$7&lt;&gt;""),IF(Agendamento!$C$7='Base de Dados'!E90,"x",""),IF(AND(Agendamento!$C$3&lt;&gt;"",Agendamento!$C$7=""),IF(Agendamento!$C$3='Base de Dados'!A90,"x",""),IF(AND(Agendamento!$C$3='Base de Dados'!A90,'Base de Dados'!E90=Agendamento!$C$7),"x",""))))</f>
        <v/>
      </c>
      <c r="I90" s="13" t="str">
        <f>IF(H90="x",COUNT($I$1:I89)+1,"")</f>
        <v/>
      </c>
      <c r="M90" s="26"/>
    </row>
    <row r="91" spans="1:13" x14ac:dyDescent="0.25">
      <c r="A91" s="27"/>
      <c r="B91" s="28"/>
      <c r="C91" s="29"/>
      <c r="D91" s="29"/>
      <c r="E91" s="28"/>
      <c r="F91" s="13" t="str">
        <f>IF(A91="","",IF(A91=Agendamento!$C$3,"x",""))</f>
        <v/>
      </c>
      <c r="G91" s="13" t="str">
        <f>IF(A91="","",IF(E91=Agendamento!$C$7,"x",""))</f>
        <v/>
      </c>
      <c r="H91" s="13" t="str">
        <f>IF(A91="","",IF(AND(Agendamento!$C$3="",Agendamento!$C$7&lt;&gt;""),IF(Agendamento!$C$7='Base de Dados'!E91,"x",""),IF(AND(Agendamento!$C$3&lt;&gt;"",Agendamento!$C$7=""),IF(Agendamento!$C$3='Base de Dados'!A91,"x",""),IF(AND(Agendamento!$C$3='Base de Dados'!A91,'Base de Dados'!E91=Agendamento!$C$7),"x",""))))</f>
        <v/>
      </c>
      <c r="I91" s="13" t="str">
        <f>IF(H91="x",COUNT($I$1:I90)+1,"")</f>
        <v/>
      </c>
      <c r="M91" s="26"/>
    </row>
    <row r="92" spans="1:13" x14ac:dyDescent="0.25">
      <c r="A92" s="27"/>
      <c r="B92" s="28"/>
      <c r="C92" s="29"/>
      <c r="D92" s="29"/>
      <c r="E92" s="28"/>
      <c r="F92" s="13" t="str">
        <f>IF(A92="","",IF(A92=Agendamento!$C$3,"x",""))</f>
        <v/>
      </c>
      <c r="G92" s="13" t="str">
        <f>IF(A92="","",IF(E92=Agendamento!$C$7,"x",""))</f>
        <v/>
      </c>
      <c r="H92" s="13" t="str">
        <f>IF(A92="","",IF(AND(Agendamento!$C$3="",Agendamento!$C$7&lt;&gt;""),IF(Agendamento!$C$7='Base de Dados'!E92,"x",""),IF(AND(Agendamento!$C$3&lt;&gt;"",Agendamento!$C$7=""),IF(Agendamento!$C$3='Base de Dados'!A92,"x",""),IF(AND(Agendamento!$C$3='Base de Dados'!A92,'Base de Dados'!E92=Agendamento!$C$7),"x",""))))</f>
        <v/>
      </c>
      <c r="I92" s="13" t="str">
        <f>IF(H92="x",COUNT($I$1:I91)+1,"")</f>
        <v/>
      </c>
      <c r="M92" s="26"/>
    </row>
    <row r="93" spans="1:13" x14ac:dyDescent="0.25">
      <c r="A93" s="27"/>
      <c r="B93" s="28"/>
      <c r="C93" s="29"/>
      <c r="D93" s="29"/>
      <c r="E93" s="28"/>
      <c r="F93" s="13" t="str">
        <f>IF(A93="","",IF(A93=Agendamento!$C$3,"x",""))</f>
        <v/>
      </c>
      <c r="G93" s="13" t="str">
        <f>IF(A93="","",IF(E93=Agendamento!$C$7,"x",""))</f>
        <v/>
      </c>
      <c r="H93" s="13" t="str">
        <f>IF(A93="","",IF(AND(Agendamento!$C$3="",Agendamento!$C$7&lt;&gt;""),IF(Agendamento!$C$7='Base de Dados'!E93,"x",""),IF(AND(Agendamento!$C$3&lt;&gt;"",Agendamento!$C$7=""),IF(Agendamento!$C$3='Base de Dados'!A93,"x",""),IF(AND(Agendamento!$C$3='Base de Dados'!A93,'Base de Dados'!E93=Agendamento!$C$7),"x",""))))</f>
        <v/>
      </c>
      <c r="I93" s="13" t="str">
        <f>IF(H93="x",COUNT($I$1:I92)+1,"")</f>
        <v/>
      </c>
      <c r="M93" s="26"/>
    </row>
    <row r="94" spans="1:13" x14ac:dyDescent="0.25">
      <c r="A94" s="27"/>
      <c r="B94" s="28"/>
      <c r="C94" s="29"/>
      <c r="D94" s="29"/>
      <c r="E94" s="28"/>
      <c r="F94" s="13" t="str">
        <f>IF(A94="","",IF(A94=Agendamento!$C$3,"x",""))</f>
        <v/>
      </c>
      <c r="G94" s="13" t="str">
        <f>IF(A94="","",IF(E94=Agendamento!$C$7,"x",""))</f>
        <v/>
      </c>
      <c r="H94" s="13" t="str">
        <f>IF(A94="","",IF(AND(Agendamento!$C$3="",Agendamento!$C$7&lt;&gt;""),IF(Agendamento!$C$7='Base de Dados'!E94,"x",""),IF(AND(Agendamento!$C$3&lt;&gt;"",Agendamento!$C$7=""),IF(Agendamento!$C$3='Base de Dados'!A94,"x",""),IF(AND(Agendamento!$C$3='Base de Dados'!A94,'Base de Dados'!E94=Agendamento!$C$7),"x",""))))</f>
        <v/>
      </c>
      <c r="I94" s="13" t="str">
        <f>IF(H94="x",COUNT($I$1:I93)+1,"")</f>
        <v/>
      </c>
      <c r="M94" s="26"/>
    </row>
    <row r="95" spans="1:13" x14ac:dyDescent="0.25">
      <c r="A95" s="27"/>
      <c r="B95" s="28"/>
      <c r="C95" s="29"/>
      <c r="D95" s="29"/>
      <c r="E95" s="28"/>
      <c r="F95" s="13" t="str">
        <f>IF(A95="","",IF(A95=Agendamento!$C$3,"x",""))</f>
        <v/>
      </c>
      <c r="G95" s="13" t="str">
        <f>IF(A95="","",IF(E95=Agendamento!$C$7,"x",""))</f>
        <v/>
      </c>
      <c r="H95" s="13" t="str">
        <f>IF(A95="","",IF(AND(Agendamento!$C$3="",Agendamento!$C$7&lt;&gt;""),IF(Agendamento!$C$7='Base de Dados'!E95,"x",""),IF(AND(Agendamento!$C$3&lt;&gt;"",Agendamento!$C$7=""),IF(Agendamento!$C$3='Base de Dados'!A95,"x",""),IF(AND(Agendamento!$C$3='Base de Dados'!A95,'Base de Dados'!E95=Agendamento!$C$7),"x",""))))</f>
        <v/>
      </c>
      <c r="I95" s="13" t="str">
        <f>IF(H95="x",COUNT($I$1:I94)+1,"")</f>
        <v/>
      </c>
      <c r="M95" s="26"/>
    </row>
    <row r="96" spans="1:13" x14ac:dyDescent="0.25">
      <c r="A96" s="27"/>
      <c r="B96" s="28"/>
      <c r="C96" s="29"/>
      <c r="D96" s="29"/>
      <c r="E96" s="28"/>
      <c r="F96" s="13" t="str">
        <f>IF(A96="","",IF(A96=Agendamento!$C$3,"x",""))</f>
        <v/>
      </c>
      <c r="G96" s="13" t="str">
        <f>IF(A96="","",IF(E96=Agendamento!$C$7,"x",""))</f>
        <v/>
      </c>
      <c r="H96" s="13" t="str">
        <f>IF(A96="","",IF(AND(Agendamento!$C$3="",Agendamento!$C$7&lt;&gt;""),IF(Agendamento!$C$7='Base de Dados'!E96,"x",""),IF(AND(Agendamento!$C$3&lt;&gt;"",Agendamento!$C$7=""),IF(Agendamento!$C$3='Base de Dados'!A96,"x",""),IF(AND(Agendamento!$C$3='Base de Dados'!A96,'Base de Dados'!E96=Agendamento!$C$7),"x",""))))</f>
        <v/>
      </c>
      <c r="I96" s="13" t="str">
        <f>IF(H96="x",COUNT($I$1:I95)+1,"")</f>
        <v/>
      </c>
      <c r="M96" s="26"/>
    </row>
    <row r="97" spans="1:13" x14ac:dyDescent="0.25">
      <c r="A97" s="27"/>
      <c r="B97" s="28"/>
      <c r="C97" s="29"/>
      <c r="D97" s="29"/>
      <c r="E97" s="28"/>
      <c r="F97" s="13" t="str">
        <f>IF(A97="","",IF(A97=Agendamento!$C$3,"x",""))</f>
        <v/>
      </c>
      <c r="G97" s="13" t="str">
        <f>IF(A97="","",IF(E97=Agendamento!$C$7,"x",""))</f>
        <v/>
      </c>
      <c r="H97" s="13" t="str">
        <f>IF(A97="","",IF(AND(Agendamento!$C$3="",Agendamento!$C$7&lt;&gt;""),IF(Agendamento!$C$7='Base de Dados'!E97,"x",""),IF(AND(Agendamento!$C$3&lt;&gt;"",Agendamento!$C$7=""),IF(Agendamento!$C$3='Base de Dados'!A97,"x",""),IF(AND(Agendamento!$C$3='Base de Dados'!A97,'Base de Dados'!E97=Agendamento!$C$7),"x",""))))</f>
        <v/>
      </c>
      <c r="I97" s="13" t="str">
        <f>IF(H97="x",COUNT($I$1:I96)+1,"")</f>
        <v/>
      </c>
      <c r="M97" s="26"/>
    </row>
    <row r="98" spans="1:13" x14ac:dyDescent="0.25">
      <c r="A98" s="27"/>
      <c r="B98" s="28"/>
      <c r="C98" s="29"/>
      <c r="D98" s="29"/>
      <c r="E98" s="28"/>
      <c r="F98" s="13" t="str">
        <f>IF(A98="","",IF(A98=Agendamento!$C$3,"x",""))</f>
        <v/>
      </c>
      <c r="G98" s="13" t="str">
        <f>IF(A98="","",IF(E98=Agendamento!$C$7,"x",""))</f>
        <v/>
      </c>
      <c r="H98" s="13" t="str">
        <f>IF(A98="","",IF(AND(Agendamento!$C$3="",Agendamento!$C$7&lt;&gt;""),IF(Agendamento!$C$7='Base de Dados'!E98,"x",""),IF(AND(Agendamento!$C$3&lt;&gt;"",Agendamento!$C$7=""),IF(Agendamento!$C$3='Base de Dados'!A98,"x",""),IF(AND(Agendamento!$C$3='Base de Dados'!A98,'Base de Dados'!E98=Agendamento!$C$7),"x",""))))</f>
        <v/>
      </c>
      <c r="I98" s="13" t="str">
        <f>IF(H98="x",COUNT($I$1:I97)+1,"")</f>
        <v/>
      </c>
    </row>
    <row r="99" spans="1:13" x14ac:dyDescent="0.25">
      <c r="A99" s="27"/>
      <c r="B99" s="28"/>
      <c r="C99" s="29"/>
      <c r="D99" s="29"/>
      <c r="E99" s="28"/>
      <c r="F99" s="13" t="str">
        <f>IF(A99="","",IF(A99=Agendamento!$C$3,"x",""))</f>
        <v/>
      </c>
      <c r="G99" s="13" t="str">
        <f>IF(A99="","",IF(E99=Agendamento!$C$7,"x",""))</f>
        <v/>
      </c>
      <c r="H99" s="13" t="str">
        <f>IF(A99="","",IF(AND(Agendamento!$C$3="",Agendamento!$C$7&lt;&gt;""),IF(Agendamento!$C$7='Base de Dados'!E99,"x",""),IF(AND(Agendamento!$C$3&lt;&gt;"",Agendamento!$C$7=""),IF(Agendamento!$C$3='Base de Dados'!A99,"x",""),IF(AND(Agendamento!$C$3='Base de Dados'!A99,'Base de Dados'!E99=Agendamento!$C$7),"x",""))))</f>
        <v/>
      </c>
      <c r="I99" s="13" t="str">
        <f>IF(H99="x",COUNT($I$1:I98)+1,"")</f>
        <v/>
      </c>
    </row>
    <row r="100" spans="1:13" x14ac:dyDescent="0.25">
      <c r="A100" s="27"/>
      <c r="B100" s="28"/>
      <c r="C100" s="29"/>
      <c r="D100" s="29"/>
      <c r="E100" s="28"/>
      <c r="F100" s="13" t="str">
        <f>IF(A100="","",IF(A100=Agendamento!$C$3,"x",""))</f>
        <v/>
      </c>
      <c r="G100" s="13" t="str">
        <f>IF(A100="","",IF(E100=Agendamento!$C$7,"x",""))</f>
        <v/>
      </c>
      <c r="H100" s="13" t="str">
        <f>IF(A100="","",IF(AND(Agendamento!$C$3="",Agendamento!$C$7&lt;&gt;""),IF(Agendamento!$C$7='Base de Dados'!E100,"x",""),IF(AND(Agendamento!$C$3&lt;&gt;"",Agendamento!$C$7=""),IF(Agendamento!$C$3='Base de Dados'!A100,"x",""),IF(AND(Agendamento!$C$3='Base de Dados'!A100,'Base de Dados'!E100=Agendamento!$C$7),"x",""))))</f>
        <v/>
      </c>
      <c r="I100" s="13" t="str">
        <f>IF(H100="x",COUNT($I$1:I99)+1,"")</f>
        <v/>
      </c>
    </row>
    <row r="101" spans="1:13" x14ac:dyDescent="0.25">
      <c r="A101" s="27"/>
      <c r="B101" s="28"/>
      <c r="C101" s="29"/>
      <c r="D101" s="29"/>
      <c r="E101" s="28"/>
      <c r="F101" s="13" t="str">
        <f>IF(A101="","",IF(A101=Agendamento!$C$3,"x",""))</f>
        <v/>
      </c>
      <c r="G101" s="13" t="str">
        <f>IF(A101="","",IF(E101=Agendamento!$C$7,"x",""))</f>
        <v/>
      </c>
      <c r="H101" s="13" t="str">
        <f>IF(A101="","",IF(AND(Agendamento!$C$3="",Agendamento!$C$7&lt;&gt;""),IF(Agendamento!$C$7='Base de Dados'!E101,"x",""),IF(AND(Agendamento!$C$3&lt;&gt;"",Agendamento!$C$7=""),IF(Agendamento!$C$3='Base de Dados'!A101,"x",""),IF(AND(Agendamento!$C$3='Base de Dados'!A101,'Base de Dados'!E101=Agendamento!$C$7),"x",""))))</f>
        <v/>
      </c>
      <c r="I101" s="13" t="str">
        <f>IF(H101="x",COUNT($I$1:I100)+1,"")</f>
        <v/>
      </c>
    </row>
    <row r="102" spans="1:13" x14ac:dyDescent="0.25">
      <c r="A102" s="27"/>
      <c r="B102" s="28"/>
      <c r="C102" s="29"/>
      <c r="D102" s="29"/>
      <c r="E102" s="28"/>
      <c r="F102" s="13" t="str">
        <f>IF(A102="","",IF(A102=Agendamento!$C$3,"x",""))</f>
        <v/>
      </c>
      <c r="G102" s="13" t="str">
        <f>IF(A102="","",IF(E102=Agendamento!$C$7,"x",""))</f>
        <v/>
      </c>
      <c r="H102" s="13" t="str">
        <f>IF(A102="","",IF(AND(Agendamento!$C$3="",Agendamento!$C$7&lt;&gt;""),IF(Agendamento!$C$7='Base de Dados'!E102,"x",""),IF(AND(Agendamento!$C$3&lt;&gt;"",Agendamento!$C$7=""),IF(Agendamento!$C$3='Base de Dados'!A102,"x",""),IF(AND(Agendamento!$C$3='Base de Dados'!A102,'Base de Dados'!E102=Agendamento!$C$7),"x",""))))</f>
        <v/>
      </c>
      <c r="I102" s="13" t="str">
        <f>IF(H102="x",COUNT($I$1:I101)+1,"")</f>
        <v/>
      </c>
    </row>
    <row r="103" spans="1:13" x14ac:dyDescent="0.25">
      <c r="A103" s="27"/>
      <c r="B103" s="28"/>
      <c r="C103" s="29"/>
      <c r="D103" s="29"/>
      <c r="E103" s="28"/>
      <c r="F103" s="13" t="str">
        <f>IF(A103="","",IF(A103=Agendamento!$C$3,"x",""))</f>
        <v/>
      </c>
      <c r="G103" s="13" t="str">
        <f>IF(A103="","",IF(E103=Agendamento!$C$7,"x",""))</f>
        <v/>
      </c>
      <c r="H103" s="13" t="str">
        <f>IF(A103="","",IF(AND(Agendamento!$C$3="",Agendamento!$C$7&lt;&gt;""),IF(Agendamento!$C$7='Base de Dados'!E103,"x",""),IF(AND(Agendamento!$C$3&lt;&gt;"",Agendamento!$C$7=""),IF(Agendamento!$C$3='Base de Dados'!A103,"x",""),IF(AND(Agendamento!$C$3='Base de Dados'!A103,'Base de Dados'!E103=Agendamento!$C$7),"x",""))))</f>
        <v/>
      </c>
      <c r="I103" s="13" t="str">
        <f>IF(H103="x",COUNT($I$1:I102)+1,"")</f>
        <v/>
      </c>
    </row>
    <row r="104" spans="1:13" x14ac:dyDescent="0.25">
      <c r="A104" s="27"/>
      <c r="B104" s="28"/>
      <c r="C104" s="29"/>
      <c r="D104" s="29"/>
      <c r="E104" s="28"/>
      <c r="F104" s="13" t="str">
        <f>IF(A104="","",IF(A104=Agendamento!$C$3,"x",""))</f>
        <v/>
      </c>
      <c r="G104" s="13" t="str">
        <f>IF(A104="","",IF(E104=Agendamento!$C$7,"x",""))</f>
        <v/>
      </c>
      <c r="H104" s="13" t="str">
        <f>IF(A104="","",IF(AND(Agendamento!$C$3="",Agendamento!$C$7&lt;&gt;""),IF(Agendamento!$C$7='Base de Dados'!E104,"x",""),IF(AND(Agendamento!$C$3&lt;&gt;"",Agendamento!$C$7=""),IF(Agendamento!$C$3='Base de Dados'!A104,"x",""),IF(AND(Agendamento!$C$3='Base de Dados'!A104,'Base de Dados'!E104=Agendamento!$C$7),"x",""))))</f>
        <v/>
      </c>
      <c r="I104" s="13" t="str">
        <f>IF(H104="x",COUNT($I$1:I103)+1,"")</f>
        <v/>
      </c>
    </row>
    <row r="105" spans="1:13" x14ac:dyDescent="0.25">
      <c r="A105" s="27"/>
      <c r="B105" s="28"/>
      <c r="C105" s="29"/>
      <c r="D105" s="29"/>
      <c r="E105" s="28"/>
      <c r="F105" s="13" t="str">
        <f>IF(A105="","",IF(A105=Agendamento!$C$3,"x",""))</f>
        <v/>
      </c>
      <c r="G105" s="13" t="str">
        <f>IF(A105="","",IF(E105=Agendamento!$C$7,"x",""))</f>
        <v/>
      </c>
      <c r="H105" s="13" t="str">
        <f>IF(A105="","",IF(AND(Agendamento!$C$3="",Agendamento!$C$7&lt;&gt;""),IF(Agendamento!$C$7='Base de Dados'!E105,"x",""),IF(AND(Agendamento!$C$3&lt;&gt;"",Agendamento!$C$7=""),IF(Agendamento!$C$3='Base de Dados'!A105,"x",""),IF(AND(Agendamento!$C$3='Base de Dados'!A105,'Base de Dados'!E105=Agendamento!$C$7),"x",""))))</f>
        <v/>
      </c>
      <c r="I105" s="13" t="str">
        <f>IF(H105="x",COUNT($I$1:I104)+1,"")</f>
        <v/>
      </c>
    </row>
    <row r="106" spans="1:13" x14ac:dyDescent="0.25">
      <c r="A106" s="27"/>
      <c r="B106" s="28"/>
      <c r="C106" s="29"/>
      <c r="D106" s="29"/>
      <c r="E106" s="28"/>
      <c r="F106" s="13" t="str">
        <f>IF(A106="","",IF(A106=Agendamento!$C$3,"x",""))</f>
        <v/>
      </c>
      <c r="G106" s="13" t="str">
        <f>IF(A106="","",IF(E106=Agendamento!$C$7,"x",""))</f>
        <v/>
      </c>
      <c r="H106" s="13" t="str">
        <f>IF(A106="","",IF(AND(Agendamento!$C$3="",Agendamento!$C$7&lt;&gt;""),IF(Agendamento!$C$7='Base de Dados'!E106,"x",""),IF(AND(Agendamento!$C$3&lt;&gt;"",Agendamento!$C$7=""),IF(Agendamento!$C$3='Base de Dados'!A106,"x",""),IF(AND(Agendamento!$C$3='Base de Dados'!A106,'Base de Dados'!E106=Agendamento!$C$7),"x",""))))</f>
        <v/>
      </c>
      <c r="I106" s="13" t="str">
        <f>IF(H106="x",COUNT($I$1:I105)+1,"")</f>
        <v/>
      </c>
    </row>
    <row r="107" spans="1:13" x14ac:dyDescent="0.25">
      <c r="A107" s="27"/>
      <c r="B107" s="28"/>
      <c r="C107" s="29"/>
      <c r="D107" s="29"/>
      <c r="E107" s="28"/>
      <c r="F107" s="13" t="str">
        <f>IF(A107="","",IF(A107=Agendamento!$C$3,"x",""))</f>
        <v/>
      </c>
      <c r="G107" s="13" t="str">
        <f>IF(A107="","",IF(E107=Agendamento!$C$7,"x",""))</f>
        <v/>
      </c>
      <c r="H107" s="13" t="str">
        <f>IF(A107="","",IF(AND(Agendamento!$C$3="",Agendamento!$C$7&lt;&gt;""),IF(Agendamento!$C$7='Base de Dados'!E107,"x",""),IF(AND(Agendamento!$C$3&lt;&gt;"",Agendamento!$C$7=""),IF(Agendamento!$C$3='Base de Dados'!A107,"x",""),IF(AND(Agendamento!$C$3='Base de Dados'!A107,'Base de Dados'!E107=Agendamento!$C$7),"x",""))))</f>
        <v/>
      </c>
      <c r="I107" s="13" t="str">
        <f>IF(H107="x",COUNT($I$1:I106)+1,"")</f>
        <v/>
      </c>
    </row>
    <row r="108" spans="1:13" x14ac:dyDescent="0.25">
      <c r="A108" s="27"/>
      <c r="B108" s="28"/>
      <c r="C108" s="29"/>
      <c r="D108" s="29"/>
      <c r="E108" s="28"/>
      <c r="F108" s="13" t="str">
        <f>IF(A108="","",IF(A108=Agendamento!$C$3,"x",""))</f>
        <v/>
      </c>
      <c r="G108" s="13" t="str">
        <f>IF(A108="","",IF(E108=Agendamento!$C$7,"x",""))</f>
        <v/>
      </c>
      <c r="H108" s="13" t="str">
        <f>IF(A108="","",IF(AND(Agendamento!$C$3="",Agendamento!$C$7&lt;&gt;""),IF(Agendamento!$C$7='Base de Dados'!E108,"x",""),IF(AND(Agendamento!$C$3&lt;&gt;"",Agendamento!$C$7=""),IF(Agendamento!$C$3='Base de Dados'!A108,"x",""),IF(AND(Agendamento!$C$3='Base de Dados'!A108,'Base de Dados'!E108=Agendamento!$C$7),"x",""))))</f>
        <v/>
      </c>
      <c r="I108" s="13" t="str">
        <f>IF(H108="x",COUNT($I$1:I107)+1,"")</f>
        <v/>
      </c>
    </row>
    <row r="109" spans="1:13" x14ac:dyDescent="0.25">
      <c r="A109" s="27"/>
      <c r="B109" s="28"/>
      <c r="C109" s="29"/>
      <c r="D109" s="29"/>
      <c r="E109" s="28"/>
      <c r="F109" s="13" t="str">
        <f>IF(A109="","",IF(A109=Agendamento!$C$3,"x",""))</f>
        <v/>
      </c>
      <c r="G109" s="13" t="str">
        <f>IF(A109="","",IF(E109=Agendamento!$C$7,"x",""))</f>
        <v/>
      </c>
      <c r="H109" s="13" t="str">
        <f>IF(A109="","",IF(AND(Agendamento!$C$3="",Agendamento!$C$7&lt;&gt;""),IF(Agendamento!$C$7='Base de Dados'!E109,"x",""),IF(AND(Agendamento!$C$3&lt;&gt;"",Agendamento!$C$7=""),IF(Agendamento!$C$3='Base de Dados'!A109,"x",""),IF(AND(Agendamento!$C$3='Base de Dados'!A109,'Base de Dados'!E109=Agendamento!$C$7),"x",""))))</f>
        <v/>
      </c>
      <c r="I109" s="13" t="str">
        <f>IF(H109="x",COUNT($I$1:I108)+1,"")</f>
        <v/>
      </c>
    </row>
    <row r="110" spans="1:13" x14ac:dyDescent="0.25">
      <c r="A110" s="27"/>
      <c r="B110" s="28"/>
      <c r="C110" s="29"/>
      <c r="D110" s="29"/>
      <c r="E110" s="28"/>
      <c r="F110" s="13" t="str">
        <f>IF(A110="","",IF(A110=Agendamento!$C$3,"x",""))</f>
        <v/>
      </c>
      <c r="G110" s="13" t="str">
        <f>IF(A110="","",IF(E110=Agendamento!$C$7,"x",""))</f>
        <v/>
      </c>
      <c r="H110" s="13" t="str">
        <f>IF(A110="","",IF(AND(Agendamento!$C$3="",Agendamento!$C$7&lt;&gt;""),IF(Agendamento!$C$7='Base de Dados'!E110,"x",""),IF(AND(Agendamento!$C$3&lt;&gt;"",Agendamento!$C$7=""),IF(Agendamento!$C$3='Base de Dados'!A110,"x",""),IF(AND(Agendamento!$C$3='Base de Dados'!A110,'Base de Dados'!E110=Agendamento!$C$7),"x",""))))</f>
        <v/>
      </c>
      <c r="I110" s="13" t="str">
        <f>IF(H110="x",COUNT($I$1:I109)+1,"")</f>
        <v/>
      </c>
    </row>
    <row r="111" spans="1:13" x14ac:dyDescent="0.25">
      <c r="A111" s="27"/>
      <c r="B111" s="28"/>
      <c r="C111" s="29"/>
      <c r="D111" s="29"/>
      <c r="E111" s="28"/>
      <c r="F111" s="13" t="str">
        <f>IF(A111="","",IF(A111=Agendamento!$C$3,"x",""))</f>
        <v/>
      </c>
      <c r="G111" s="13" t="str">
        <f>IF(A111="","",IF(E111=Agendamento!$C$7,"x",""))</f>
        <v/>
      </c>
      <c r="H111" s="13" t="str">
        <f>IF(A111="","",IF(AND(Agendamento!$C$3="",Agendamento!$C$7&lt;&gt;""),IF(Agendamento!$C$7='Base de Dados'!E111,"x",""),IF(AND(Agendamento!$C$3&lt;&gt;"",Agendamento!$C$7=""),IF(Agendamento!$C$3='Base de Dados'!A111,"x",""),IF(AND(Agendamento!$C$3='Base de Dados'!A111,'Base de Dados'!E111=Agendamento!$C$7),"x",""))))</f>
        <v/>
      </c>
      <c r="I111" s="13" t="str">
        <f>IF(H111="x",COUNT($I$1:I110)+1,"")</f>
        <v/>
      </c>
    </row>
    <row r="112" spans="1:13" x14ac:dyDescent="0.25">
      <c r="A112" s="27"/>
      <c r="B112" s="28"/>
      <c r="C112" s="29"/>
      <c r="D112" s="29"/>
      <c r="E112" s="28"/>
      <c r="F112" s="13" t="str">
        <f>IF(A112="","",IF(A112=Agendamento!$C$3,"x",""))</f>
        <v/>
      </c>
      <c r="G112" s="13" t="str">
        <f>IF(A112="","",IF(E112=Agendamento!$C$7,"x",""))</f>
        <v/>
      </c>
      <c r="H112" s="13" t="str">
        <f>IF(A112="","",IF(AND(Agendamento!$C$3="",Agendamento!$C$7&lt;&gt;""),IF(Agendamento!$C$7='Base de Dados'!E112,"x",""),IF(AND(Agendamento!$C$3&lt;&gt;"",Agendamento!$C$7=""),IF(Agendamento!$C$3='Base de Dados'!A112,"x",""),IF(AND(Agendamento!$C$3='Base de Dados'!A112,'Base de Dados'!E112=Agendamento!$C$7),"x",""))))</f>
        <v/>
      </c>
      <c r="I112" s="13" t="str">
        <f>IF(H112="x",COUNT($I$1:I111)+1,"")</f>
        <v/>
      </c>
    </row>
    <row r="113" spans="1:9" x14ac:dyDescent="0.25">
      <c r="A113" s="27"/>
      <c r="B113" s="28"/>
      <c r="C113" s="29"/>
      <c r="D113" s="29"/>
      <c r="E113" s="28"/>
      <c r="F113" s="13" t="str">
        <f>IF(A113="","",IF(A113=Agendamento!$C$3,"x",""))</f>
        <v/>
      </c>
      <c r="G113" s="13" t="str">
        <f>IF(A113="","",IF(E113=Agendamento!$C$7,"x",""))</f>
        <v/>
      </c>
      <c r="H113" s="13" t="str">
        <f>IF(A113="","",IF(AND(Agendamento!$C$3="",Agendamento!$C$7&lt;&gt;""),IF(Agendamento!$C$7='Base de Dados'!E113,"x",""),IF(AND(Agendamento!$C$3&lt;&gt;"",Agendamento!$C$7=""),IF(Agendamento!$C$3='Base de Dados'!A113,"x",""),IF(AND(Agendamento!$C$3='Base de Dados'!A113,'Base de Dados'!E113=Agendamento!$C$7),"x",""))))</f>
        <v/>
      </c>
      <c r="I113" s="13" t="str">
        <f>IF(H113="x",COUNT($I$1:I112)+1,"")</f>
        <v/>
      </c>
    </row>
    <row r="114" spans="1:9" x14ac:dyDescent="0.25">
      <c r="A114" s="27"/>
      <c r="B114" s="28"/>
      <c r="C114" s="29"/>
      <c r="D114" s="29"/>
      <c r="E114" s="28"/>
      <c r="F114" s="13" t="str">
        <f>IF(A114="","",IF(A114=Agendamento!$C$3,"x",""))</f>
        <v/>
      </c>
      <c r="G114" s="13" t="str">
        <f>IF(A114="","",IF(E114=Agendamento!$C$7,"x",""))</f>
        <v/>
      </c>
      <c r="H114" s="13" t="str">
        <f>IF(A114="","",IF(AND(Agendamento!$C$3="",Agendamento!$C$7&lt;&gt;""),IF(Agendamento!$C$7='Base de Dados'!E114,"x",""),IF(AND(Agendamento!$C$3&lt;&gt;"",Agendamento!$C$7=""),IF(Agendamento!$C$3='Base de Dados'!A114,"x",""),IF(AND(Agendamento!$C$3='Base de Dados'!A114,'Base de Dados'!E114=Agendamento!$C$7),"x",""))))</f>
        <v/>
      </c>
      <c r="I114" s="13" t="str">
        <f>IF(H114="x",COUNT($I$1:I113)+1,"")</f>
        <v/>
      </c>
    </row>
    <row r="115" spans="1:9" x14ac:dyDescent="0.25">
      <c r="A115" s="27"/>
      <c r="B115" s="28"/>
      <c r="C115" s="29"/>
      <c r="D115" s="29"/>
      <c r="E115" s="28"/>
      <c r="F115" s="13" t="str">
        <f>IF(A115="","",IF(A115=Agendamento!$C$3,"x",""))</f>
        <v/>
      </c>
      <c r="G115" s="13" t="str">
        <f>IF(A115="","",IF(E115=Agendamento!$C$7,"x",""))</f>
        <v/>
      </c>
      <c r="H115" s="13" t="str">
        <f>IF(A115="","",IF(AND(Agendamento!$C$3="",Agendamento!$C$7&lt;&gt;""),IF(Agendamento!$C$7='Base de Dados'!E115,"x",""),IF(AND(Agendamento!$C$3&lt;&gt;"",Agendamento!$C$7=""),IF(Agendamento!$C$3='Base de Dados'!A115,"x",""),IF(AND(Agendamento!$C$3='Base de Dados'!A115,'Base de Dados'!E115=Agendamento!$C$7),"x",""))))</f>
        <v/>
      </c>
      <c r="I115" s="13" t="str">
        <f>IF(H115="x",COUNT($I$1:I114)+1,"")</f>
        <v/>
      </c>
    </row>
    <row r="116" spans="1:9" x14ac:dyDescent="0.25">
      <c r="A116" s="27"/>
      <c r="B116" s="28"/>
      <c r="C116" s="29"/>
      <c r="D116" s="29"/>
      <c r="E116" s="28"/>
      <c r="F116" s="13" t="str">
        <f>IF(A116="","",IF(A116=Agendamento!$C$3,"x",""))</f>
        <v/>
      </c>
      <c r="G116" s="13" t="str">
        <f>IF(A116="","",IF(E116=Agendamento!$C$7,"x",""))</f>
        <v/>
      </c>
      <c r="H116" s="13" t="str">
        <f>IF(A116="","",IF(AND(Agendamento!$C$3="",Agendamento!$C$7&lt;&gt;""),IF(Agendamento!$C$7='Base de Dados'!E116,"x",""),IF(AND(Agendamento!$C$3&lt;&gt;"",Agendamento!$C$7=""),IF(Agendamento!$C$3='Base de Dados'!A116,"x",""),IF(AND(Agendamento!$C$3='Base de Dados'!A116,'Base de Dados'!E116=Agendamento!$C$7),"x",""))))</f>
        <v/>
      </c>
      <c r="I116" s="13" t="str">
        <f>IF(H116="x",COUNT($I$1:I115)+1,"")</f>
        <v/>
      </c>
    </row>
    <row r="117" spans="1:9" x14ac:dyDescent="0.25">
      <c r="A117" s="27"/>
      <c r="B117" s="28"/>
      <c r="C117" s="29"/>
      <c r="D117" s="29"/>
      <c r="E117" s="28"/>
      <c r="F117" s="13" t="str">
        <f>IF(A117="","",IF(A117=Agendamento!$C$3,"x",""))</f>
        <v/>
      </c>
      <c r="G117" s="13" t="str">
        <f>IF(A117="","",IF(E117=Agendamento!$C$7,"x",""))</f>
        <v/>
      </c>
      <c r="H117" s="13" t="str">
        <f>IF(A117="","",IF(AND(Agendamento!$C$3="",Agendamento!$C$7&lt;&gt;""),IF(Agendamento!$C$7='Base de Dados'!E117,"x",""),IF(AND(Agendamento!$C$3&lt;&gt;"",Agendamento!$C$7=""),IF(Agendamento!$C$3='Base de Dados'!A117,"x",""),IF(AND(Agendamento!$C$3='Base de Dados'!A117,'Base de Dados'!E117=Agendamento!$C$7),"x",""))))</f>
        <v/>
      </c>
      <c r="I117" s="13" t="str">
        <f>IF(H117="x",COUNT($I$1:I116)+1,"")</f>
        <v/>
      </c>
    </row>
    <row r="118" spans="1:9" x14ac:dyDescent="0.25">
      <c r="A118" s="27"/>
      <c r="B118" s="28"/>
      <c r="C118" s="29"/>
      <c r="D118" s="29"/>
      <c r="E118" s="28"/>
      <c r="F118" s="13" t="str">
        <f>IF(A118="","",IF(A118=Agendamento!$C$3,"x",""))</f>
        <v/>
      </c>
      <c r="G118" s="13" t="str">
        <f>IF(A118="","",IF(E118=Agendamento!$C$7,"x",""))</f>
        <v/>
      </c>
      <c r="H118" s="13" t="str">
        <f>IF(A118="","",IF(AND(Agendamento!$C$3="",Agendamento!$C$7&lt;&gt;""),IF(Agendamento!$C$7='Base de Dados'!E118,"x",""),IF(AND(Agendamento!$C$3&lt;&gt;"",Agendamento!$C$7=""),IF(Agendamento!$C$3='Base de Dados'!A118,"x",""),IF(AND(Agendamento!$C$3='Base de Dados'!A118,'Base de Dados'!E118=Agendamento!$C$7),"x",""))))</f>
        <v/>
      </c>
      <c r="I118" s="13" t="str">
        <f>IF(H118="x",COUNT($I$1:I117)+1,"")</f>
        <v/>
      </c>
    </row>
    <row r="119" spans="1:9" x14ac:dyDescent="0.25">
      <c r="A119" s="27"/>
      <c r="B119" s="28"/>
      <c r="C119" s="29"/>
      <c r="D119" s="29"/>
      <c r="E119" s="28"/>
      <c r="F119" s="13" t="str">
        <f>IF(A119="","",IF(A119=Agendamento!$C$3,"x",""))</f>
        <v/>
      </c>
      <c r="G119" s="13" t="str">
        <f>IF(A119="","",IF(E119=Agendamento!$C$7,"x",""))</f>
        <v/>
      </c>
      <c r="H119" s="13" t="str">
        <f>IF(A119="","",IF(AND(Agendamento!$C$3="",Agendamento!$C$7&lt;&gt;""),IF(Agendamento!$C$7='Base de Dados'!E119,"x",""),IF(AND(Agendamento!$C$3&lt;&gt;"",Agendamento!$C$7=""),IF(Agendamento!$C$3='Base de Dados'!A119,"x",""),IF(AND(Agendamento!$C$3='Base de Dados'!A119,'Base de Dados'!E119=Agendamento!$C$7),"x",""))))</f>
        <v/>
      </c>
      <c r="I119" s="13" t="str">
        <f>IF(H119="x",COUNT($I$1:I118)+1,"")</f>
        <v/>
      </c>
    </row>
    <row r="120" spans="1:9" x14ac:dyDescent="0.25">
      <c r="A120" s="27"/>
      <c r="B120" s="28"/>
      <c r="C120" s="29"/>
      <c r="D120" s="29"/>
      <c r="E120" s="28"/>
      <c r="F120" s="13" t="str">
        <f>IF(A120="","",IF(A120=Agendamento!$C$3,"x",""))</f>
        <v/>
      </c>
      <c r="G120" s="13" t="str">
        <f>IF(A120="","",IF(E120=Agendamento!$C$7,"x",""))</f>
        <v/>
      </c>
      <c r="H120" s="13" t="str">
        <f>IF(A120="","",IF(AND(Agendamento!$C$3="",Agendamento!$C$7&lt;&gt;""),IF(Agendamento!$C$7='Base de Dados'!E120,"x",""),IF(AND(Agendamento!$C$3&lt;&gt;"",Agendamento!$C$7=""),IF(Agendamento!$C$3='Base de Dados'!A120,"x",""),IF(AND(Agendamento!$C$3='Base de Dados'!A120,'Base de Dados'!E120=Agendamento!$C$7),"x",""))))</f>
        <v/>
      </c>
      <c r="I120" s="13" t="str">
        <f>IF(H120="x",COUNT($I$1:I119)+1,"")</f>
        <v/>
      </c>
    </row>
    <row r="121" spans="1:9" x14ac:dyDescent="0.25">
      <c r="A121" s="27"/>
      <c r="B121" s="28"/>
      <c r="C121" s="29"/>
      <c r="D121" s="29"/>
      <c r="E121" s="28"/>
      <c r="F121" s="13" t="str">
        <f>IF(A121="","",IF(A121=Agendamento!$C$3,"x",""))</f>
        <v/>
      </c>
      <c r="G121" s="13" t="str">
        <f>IF(A121="","",IF(E121=Agendamento!$C$7,"x",""))</f>
        <v/>
      </c>
      <c r="H121" s="13" t="str">
        <f>IF(A121="","",IF(AND(Agendamento!$C$3="",Agendamento!$C$7&lt;&gt;""),IF(Agendamento!$C$7='Base de Dados'!E121,"x",""),IF(AND(Agendamento!$C$3&lt;&gt;"",Agendamento!$C$7=""),IF(Agendamento!$C$3='Base de Dados'!A121,"x",""),IF(AND(Agendamento!$C$3='Base de Dados'!A121,'Base de Dados'!E121=Agendamento!$C$7),"x",""))))</f>
        <v/>
      </c>
      <c r="I121" s="13" t="str">
        <f>IF(H121="x",COUNT($I$1:I120)+1,"")</f>
        <v/>
      </c>
    </row>
    <row r="122" spans="1:9" x14ac:dyDescent="0.25">
      <c r="A122" s="27"/>
      <c r="B122" s="28"/>
      <c r="C122" s="29"/>
      <c r="D122" s="29"/>
      <c r="E122" s="28"/>
      <c r="F122" s="13" t="str">
        <f>IF(A122="","",IF(A122=Agendamento!$C$3,"x",""))</f>
        <v/>
      </c>
      <c r="G122" s="13" t="str">
        <f>IF(A122="","",IF(E122=Agendamento!$C$7,"x",""))</f>
        <v/>
      </c>
      <c r="H122" s="13" t="str">
        <f>IF(A122="","",IF(AND(Agendamento!$C$3="",Agendamento!$C$7&lt;&gt;""),IF(Agendamento!$C$7='Base de Dados'!E122,"x",""),IF(AND(Agendamento!$C$3&lt;&gt;"",Agendamento!$C$7=""),IF(Agendamento!$C$3='Base de Dados'!A122,"x",""),IF(AND(Agendamento!$C$3='Base de Dados'!A122,'Base de Dados'!E122=Agendamento!$C$7),"x",""))))</f>
        <v/>
      </c>
      <c r="I122" s="13" t="str">
        <f>IF(H122="x",COUNT($I$1:I121)+1,"")</f>
        <v/>
      </c>
    </row>
    <row r="123" spans="1:9" x14ac:dyDescent="0.25">
      <c r="A123" s="27"/>
      <c r="B123" s="28"/>
      <c r="C123" s="29"/>
      <c r="D123" s="29"/>
      <c r="E123" s="28"/>
      <c r="F123" s="13" t="str">
        <f>IF(A123="","",IF(A123=Agendamento!$C$3,"x",""))</f>
        <v/>
      </c>
      <c r="G123" s="13" t="str">
        <f>IF(A123="","",IF(E123=Agendamento!$C$7,"x",""))</f>
        <v/>
      </c>
      <c r="H123" s="13" t="str">
        <f>IF(A123="","",IF(AND(Agendamento!$C$3="",Agendamento!$C$7&lt;&gt;""),IF(Agendamento!$C$7='Base de Dados'!E123,"x",""),IF(AND(Agendamento!$C$3&lt;&gt;"",Agendamento!$C$7=""),IF(Agendamento!$C$3='Base de Dados'!A123,"x",""),IF(AND(Agendamento!$C$3='Base de Dados'!A123,'Base de Dados'!E123=Agendamento!$C$7),"x",""))))</f>
        <v/>
      </c>
      <c r="I123" s="13" t="str">
        <f>IF(H123="x",COUNT($I$1:I122)+1,"")</f>
        <v/>
      </c>
    </row>
    <row r="124" spans="1:9" x14ac:dyDescent="0.25">
      <c r="A124" s="27"/>
      <c r="B124" s="28"/>
      <c r="C124" s="29"/>
      <c r="D124" s="29"/>
      <c r="E124" s="28"/>
      <c r="F124" s="13" t="str">
        <f>IF(A124="","",IF(A124=Agendamento!$C$3,"x",""))</f>
        <v/>
      </c>
      <c r="G124" s="13" t="str">
        <f>IF(A124="","",IF(E124=Agendamento!$C$7,"x",""))</f>
        <v/>
      </c>
      <c r="H124" s="13" t="str">
        <f>IF(A124="","",IF(AND(Agendamento!$C$3="",Agendamento!$C$7&lt;&gt;""),IF(Agendamento!$C$7='Base de Dados'!E124,"x",""),IF(AND(Agendamento!$C$3&lt;&gt;"",Agendamento!$C$7=""),IF(Agendamento!$C$3='Base de Dados'!A124,"x",""),IF(AND(Agendamento!$C$3='Base de Dados'!A124,'Base de Dados'!E124=Agendamento!$C$7),"x",""))))</f>
        <v/>
      </c>
      <c r="I124" s="13" t="str">
        <f>IF(H124="x",COUNT($I$1:I123)+1,"")</f>
        <v/>
      </c>
    </row>
    <row r="125" spans="1:9" x14ac:dyDescent="0.25">
      <c r="A125" s="27"/>
      <c r="B125" s="28"/>
      <c r="C125" s="29"/>
      <c r="D125" s="29"/>
      <c r="E125" s="28"/>
      <c r="F125" s="13" t="str">
        <f>IF(A125="","",IF(A125=Agendamento!$C$3,"x",""))</f>
        <v/>
      </c>
      <c r="G125" s="13" t="str">
        <f>IF(A125="","",IF(E125=Agendamento!$C$7,"x",""))</f>
        <v/>
      </c>
      <c r="H125" s="13" t="str">
        <f>IF(A125="","",IF(AND(Agendamento!$C$3="",Agendamento!$C$7&lt;&gt;""),IF(Agendamento!$C$7='Base de Dados'!E125,"x",""),IF(AND(Agendamento!$C$3&lt;&gt;"",Agendamento!$C$7=""),IF(Agendamento!$C$3='Base de Dados'!A125,"x",""),IF(AND(Agendamento!$C$3='Base de Dados'!A125,'Base de Dados'!E125=Agendamento!$C$7),"x",""))))</f>
        <v/>
      </c>
      <c r="I125" s="13" t="str">
        <f>IF(H125="x",COUNT($I$1:I124)+1,"")</f>
        <v/>
      </c>
    </row>
    <row r="126" spans="1:9" x14ac:dyDescent="0.25">
      <c r="A126" s="27"/>
      <c r="B126" s="28"/>
      <c r="C126" s="29"/>
      <c r="D126" s="29"/>
      <c r="E126" s="28"/>
      <c r="F126" s="13" t="str">
        <f>IF(A126="","",IF(A126=Agendamento!$C$3,"x",""))</f>
        <v/>
      </c>
      <c r="G126" s="13" t="str">
        <f>IF(A126="","",IF(E126=Agendamento!$C$7,"x",""))</f>
        <v/>
      </c>
      <c r="H126" s="13" t="str">
        <f>IF(A126="","",IF(AND(Agendamento!$C$3="",Agendamento!$C$7&lt;&gt;""),IF(Agendamento!$C$7='Base de Dados'!E126,"x",""),IF(AND(Agendamento!$C$3&lt;&gt;"",Agendamento!$C$7=""),IF(Agendamento!$C$3='Base de Dados'!A126,"x",""),IF(AND(Agendamento!$C$3='Base de Dados'!A126,'Base de Dados'!E126=Agendamento!$C$7),"x",""))))</f>
        <v/>
      </c>
      <c r="I126" s="13" t="str">
        <f>IF(H126="x",COUNT($I$1:I125)+1,"")</f>
        <v/>
      </c>
    </row>
    <row r="127" spans="1:9" x14ac:dyDescent="0.25">
      <c r="A127" s="27"/>
      <c r="B127" s="28"/>
      <c r="C127" s="29"/>
      <c r="D127" s="29"/>
      <c r="E127" s="28"/>
      <c r="F127" s="13" t="str">
        <f>IF(A127="","",IF(A127=Agendamento!$C$3,"x",""))</f>
        <v/>
      </c>
      <c r="G127" s="13" t="str">
        <f>IF(A127="","",IF(E127=Agendamento!$C$7,"x",""))</f>
        <v/>
      </c>
      <c r="H127" s="13" t="str">
        <f>IF(A127="","",IF(AND(Agendamento!$C$3="",Agendamento!$C$7&lt;&gt;""),IF(Agendamento!$C$7='Base de Dados'!E127,"x",""),IF(AND(Agendamento!$C$3&lt;&gt;"",Agendamento!$C$7=""),IF(Agendamento!$C$3='Base de Dados'!A127,"x",""),IF(AND(Agendamento!$C$3='Base de Dados'!A127,'Base de Dados'!E127=Agendamento!$C$7),"x",""))))</f>
        <v/>
      </c>
      <c r="I127" s="13" t="str">
        <f>IF(H127="x",COUNT($I$1:I126)+1,"")</f>
        <v/>
      </c>
    </row>
    <row r="128" spans="1:9" x14ac:dyDescent="0.25">
      <c r="A128" s="27"/>
      <c r="B128" s="28"/>
      <c r="C128" s="29"/>
      <c r="D128" s="29"/>
      <c r="E128" s="28"/>
      <c r="F128" s="13" t="str">
        <f>IF(A128="","",IF(A128=Agendamento!$C$3,"x",""))</f>
        <v/>
      </c>
      <c r="G128" s="13" t="str">
        <f>IF(A128="","",IF(E128=Agendamento!$C$7,"x",""))</f>
        <v/>
      </c>
      <c r="H128" s="13" t="str">
        <f>IF(A128="","",IF(AND(Agendamento!$C$3="",Agendamento!$C$7&lt;&gt;""),IF(Agendamento!$C$7='Base de Dados'!E128,"x",""),IF(AND(Agendamento!$C$3&lt;&gt;"",Agendamento!$C$7=""),IF(Agendamento!$C$3='Base de Dados'!A128,"x",""),IF(AND(Agendamento!$C$3='Base de Dados'!A128,'Base de Dados'!E128=Agendamento!$C$7),"x",""))))</f>
        <v/>
      </c>
      <c r="I128" s="13" t="str">
        <f>IF(H128="x",COUNT($I$1:I127)+1,"")</f>
        <v/>
      </c>
    </row>
    <row r="129" spans="1:9" x14ac:dyDescent="0.25">
      <c r="A129" s="27"/>
      <c r="B129" s="28"/>
      <c r="C129" s="29"/>
      <c r="D129" s="29"/>
      <c r="E129" s="28"/>
      <c r="F129" s="13" t="str">
        <f>IF(A129="","",IF(A129=Agendamento!$C$3,"x",""))</f>
        <v/>
      </c>
      <c r="G129" s="13" t="str">
        <f>IF(A129="","",IF(E129=Agendamento!$C$7,"x",""))</f>
        <v/>
      </c>
      <c r="H129" s="13" t="str">
        <f>IF(A129="","",IF(AND(Agendamento!$C$3="",Agendamento!$C$7&lt;&gt;""),IF(Agendamento!$C$7='Base de Dados'!E129,"x",""),IF(AND(Agendamento!$C$3&lt;&gt;"",Agendamento!$C$7=""),IF(Agendamento!$C$3='Base de Dados'!A129,"x",""),IF(AND(Agendamento!$C$3='Base de Dados'!A129,'Base de Dados'!E129=Agendamento!$C$7),"x",""))))</f>
        <v/>
      </c>
      <c r="I129" s="13" t="str">
        <f>IF(H129="x",COUNT($I$1:I128)+1,"")</f>
        <v/>
      </c>
    </row>
    <row r="130" spans="1:9" x14ac:dyDescent="0.25">
      <c r="A130" s="27"/>
      <c r="B130" s="28"/>
      <c r="C130" s="29"/>
      <c r="D130" s="29"/>
      <c r="E130" s="28"/>
      <c r="F130" s="13" t="str">
        <f>IF(A130="","",IF(A130=Agendamento!$C$3,"x",""))</f>
        <v/>
      </c>
      <c r="G130" s="13" t="str">
        <f>IF(A130="","",IF(E130=Agendamento!$C$7,"x",""))</f>
        <v/>
      </c>
      <c r="H130" s="13" t="str">
        <f>IF(A130="","",IF(AND(Agendamento!$C$3="",Agendamento!$C$7&lt;&gt;""),IF(Agendamento!$C$7='Base de Dados'!E130,"x",""),IF(AND(Agendamento!$C$3&lt;&gt;"",Agendamento!$C$7=""),IF(Agendamento!$C$3='Base de Dados'!A130,"x",""),IF(AND(Agendamento!$C$3='Base de Dados'!A130,'Base de Dados'!E130=Agendamento!$C$7),"x",""))))</f>
        <v/>
      </c>
      <c r="I130" s="13" t="str">
        <f>IF(H130="x",COUNT($I$1:I129)+1,"")</f>
        <v/>
      </c>
    </row>
    <row r="131" spans="1:9" x14ac:dyDescent="0.25">
      <c r="A131" s="27"/>
      <c r="B131" s="28"/>
      <c r="C131" s="29"/>
      <c r="D131" s="29"/>
      <c r="E131" s="28"/>
      <c r="F131" s="13" t="str">
        <f>IF(A131="","",IF(A131=Agendamento!$C$3,"x",""))</f>
        <v/>
      </c>
      <c r="G131" s="13" t="str">
        <f>IF(A131="","",IF(E131=Agendamento!$C$7,"x",""))</f>
        <v/>
      </c>
      <c r="H131" s="13" t="str">
        <f>IF(A131="","",IF(AND(Agendamento!$C$3="",Agendamento!$C$7&lt;&gt;""),IF(Agendamento!$C$7='Base de Dados'!E131,"x",""),IF(AND(Agendamento!$C$3&lt;&gt;"",Agendamento!$C$7=""),IF(Agendamento!$C$3='Base de Dados'!A131,"x",""),IF(AND(Agendamento!$C$3='Base de Dados'!A131,'Base de Dados'!E131=Agendamento!$C$7),"x",""))))</f>
        <v/>
      </c>
      <c r="I131" s="13" t="str">
        <f>IF(H131="x",COUNT($I$1:I130)+1,"")</f>
        <v/>
      </c>
    </row>
    <row r="132" spans="1:9" x14ac:dyDescent="0.25">
      <c r="A132" s="27"/>
      <c r="B132" s="28"/>
      <c r="C132" s="29"/>
      <c r="D132" s="29"/>
      <c r="E132" s="28"/>
      <c r="F132" s="13" t="str">
        <f>IF(A132="","",IF(A132=Agendamento!$C$3,"x",""))</f>
        <v/>
      </c>
      <c r="G132" s="13" t="str">
        <f>IF(A132="","",IF(E132=Agendamento!$C$7,"x",""))</f>
        <v/>
      </c>
      <c r="H132" s="13" t="str">
        <f>IF(A132="","",IF(AND(Agendamento!$C$3="",Agendamento!$C$7&lt;&gt;""),IF(Agendamento!$C$7='Base de Dados'!E132,"x",""),IF(AND(Agendamento!$C$3&lt;&gt;"",Agendamento!$C$7=""),IF(Agendamento!$C$3='Base de Dados'!A132,"x",""),IF(AND(Agendamento!$C$3='Base de Dados'!A132,'Base de Dados'!E132=Agendamento!$C$7),"x",""))))</f>
        <v/>
      </c>
      <c r="I132" s="13" t="str">
        <f>IF(H132="x",COUNT($I$1:I131)+1,"")</f>
        <v/>
      </c>
    </row>
    <row r="133" spans="1:9" x14ac:dyDescent="0.25">
      <c r="A133" s="27"/>
      <c r="B133" s="28"/>
      <c r="C133" s="29"/>
      <c r="D133" s="29"/>
      <c r="E133" s="28"/>
      <c r="F133" s="13" t="str">
        <f>IF(A133="","",IF(A133=Agendamento!$C$3,"x",""))</f>
        <v/>
      </c>
      <c r="G133" s="13" t="str">
        <f>IF(A133="","",IF(E133=Agendamento!$C$7,"x",""))</f>
        <v/>
      </c>
      <c r="H133" s="13" t="str">
        <f>IF(A133="","",IF(AND(Agendamento!$C$3="",Agendamento!$C$7&lt;&gt;""),IF(Agendamento!$C$7='Base de Dados'!E133,"x",""),IF(AND(Agendamento!$C$3&lt;&gt;"",Agendamento!$C$7=""),IF(Agendamento!$C$3='Base de Dados'!A133,"x",""),IF(AND(Agendamento!$C$3='Base de Dados'!A133,'Base de Dados'!E133=Agendamento!$C$7),"x",""))))</f>
        <v/>
      </c>
      <c r="I133" s="13" t="str">
        <f>IF(H133="x",COUNT($I$1:I132)+1,"")</f>
        <v/>
      </c>
    </row>
    <row r="134" spans="1:9" x14ac:dyDescent="0.25">
      <c r="A134" s="27"/>
      <c r="B134" s="28"/>
      <c r="C134" s="29"/>
      <c r="D134" s="29"/>
      <c r="E134" s="28"/>
      <c r="F134" s="13" t="str">
        <f>IF(A134="","",IF(A134=Agendamento!$C$3,"x",""))</f>
        <v/>
      </c>
      <c r="G134" s="13" t="str">
        <f>IF(A134="","",IF(E134=Agendamento!$C$7,"x",""))</f>
        <v/>
      </c>
      <c r="H134" s="13" t="str">
        <f>IF(A134="","",IF(AND(Agendamento!$C$3="",Agendamento!$C$7&lt;&gt;""),IF(Agendamento!$C$7='Base de Dados'!E134,"x",""),IF(AND(Agendamento!$C$3&lt;&gt;"",Agendamento!$C$7=""),IF(Agendamento!$C$3='Base de Dados'!A134,"x",""),IF(AND(Agendamento!$C$3='Base de Dados'!A134,'Base de Dados'!E134=Agendamento!$C$7),"x",""))))</f>
        <v/>
      </c>
      <c r="I134" s="13" t="str">
        <f>IF(H134="x",COUNT($I$1:I133)+1,"")</f>
        <v/>
      </c>
    </row>
    <row r="135" spans="1:9" x14ac:dyDescent="0.25">
      <c r="A135" s="27"/>
      <c r="B135" s="28"/>
      <c r="C135" s="29"/>
      <c r="D135" s="29"/>
      <c r="E135" s="28"/>
      <c r="F135" s="13" t="str">
        <f>IF(A135="","",IF(A135=Agendamento!$C$3,"x",""))</f>
        <v/>
      </c>
      <c r="G135" s="13" t="str">
        <f>IF(A135="","",IF(E135=Agendamento!$C$7,"x",""))</f>
        <v/>
      </c>
      <c r="H135" s="13" t="str">
        <f>IF(A135="","",IF(AND(Agendamento!$C$3="",Agendamento!$C$7&lt;&gt;""),IF(Agendamento!$C$7='Base de Dados'!E135,"x",""),IF(AND(Agendamento!$C$3&lt;&gt;"",Agendamento!$C$7=""),IF(Agendamento!$C$3='Base de Dados'!A135,"x",""),IF(AND(Agendamento!$C$3='Base de Dados'!A135,'Base de Dados'!E135=Agendamento!$C$7),"x",""))))</f>
        <v/>
      </c>
      <c r="I135" s="13" t="str">
        <f>IF(H135="x",COUNT($I$1:I134)+1,"")</f>
        <v/>
      </c>
    </row>
    <row r="136" spans="1:9" x14ac:dyDescent="0.25">
      <c r="A136" s="27"/>
      <c r="B136" s="28"/>
      <c r="C136" s="29"/>
      <c r="D136" s="29"/>
      <c r="E136" s="28"/>
      <c r="F136" s="13" t="str">
        <f>IF(A136="","",IF(A136=Agendamento!$C$3,"x",""))</f>
        <v/>
      </c>
      <c r="G136" s="13" t="str">
        <f>IF(A136="","",IF(E136=Agendamento!$C$7,"x",""))</f>
        <v/>
      </c>
      <c r="H136" s="13" t="str">
        <f>IF(A136="","",IF(AND(Agendamento!$C$3="",Agendamento!$C$7&lt;&gt;""),IF(Agendamento!$C$7='Base de Dados'!E136,"x",""),IF(AND(Agendamento!$C$3&lt;&gt;"",Agendamento!$C$7=""),IF(Agendamento!$C$3='Base de Dados'!A136,"x",""),IF(AND(Agendamento!$C$3='Base de Dados'!A136,'Base de Dados'!E136=Agendamento!$C$7),"x",""))))</f>
        <v/>
      </c>
      <c r="I136" s="13" t="str">
        <f>IF(H136="x",COUNT($I$1:I135)+1,"")</f>
        <v/>
      </c>
    </row>
    <row r="137" spans="1:9" x14ac:dyDescent="0.25">
      <c r="A137" s="27"/>
      <c r="B137" s="28"/>
      <c r="C137" s="29"/>
      <c r="D137" s="29"/>
      <c r="E137" s="28"/>
      <c r="F137" s="13" t="str">
        <f>IF(A137="","",IF(A137=Agendamento!$C$3,"x",""))</f>
        <v/>
      </c>
      <c r="G137" s="13" t="str">
        <f>IF(A137="","",IF(E137=Agendamento!$C$7,"x",""))</f>
        <v/>
      </c>
      <c r="H137" s="13" t="str">
        <f>IF(A137="","",IF(AND(Agendamento!$C$3="",Agendamento!$C$7&lt;&gt;""),IF(Agendamento!$C$7='Base de Dados'!E137,"x",""),IF(AND(Agendamento!$C$3&lt;&gt;"",Agendamento!$C$7=""),IF(Agendamento!$C$3='Base de Dados'!A137,"x",""),IF(AND(Agendamento!$C$3='Base de Dados'!A137,'Base de Dados'!E137=Agendamento!$C$7),"x",""))))</f>
        <v/>
      </c>
      <c r="I137" s="13" t="str">
        <f>IF(H137="x",COUNT($I$1:I136)+1,"")</f>
        <v/>
      </c>
    </row>
    <row r="138" spans="1:9" x14ac:dyDescent="0.25">
      <c r="A138" s="27"/>
      <c r="B138" s="28"/>
      <c r="C138" s="29"/>
      <c r="D138" s="29"/>
      <c r="E138" s="28"/>
      <c r="F138" s="13" t="str">
        <f>IF(A138="","",IF(A138=Agendamento!$C$3,"x",""))</f>
        <v/>
      </c>
      <c r="G138" s="13" t="str">
        <f>IF(A138="","",IF(E138=Agendamento!$C$7,"x",""))</f>
        <v/>
      </c>
      <c r="H138" s="13" t="str">
        <f>IF(A138="","",IF(AND(Agendamento!$C$3="",Agendamento!$C$7&lt;&gt;""),IF(Agendamento!$C$7='Base de Dados'!E138,"x",""),IF(AND(Agendamento!$C$3&lt;&gt;"",Agendamento!$C$7=""),IF(Agendamento!$C$3='Base de Dados'!A138,"x",""),IF(AND(Agendamento!$C$3='Base de Dados'!A138,'Base de Dados'!E138=Agendamento!$C$7),"x",""))))</f>
        <v/>
      </c>
      <c r="I138" s="13" t="str">
        <f>IF(H138="x",COUNT($I$1:I137)+1,"")</f>
        <v/>
      </c>
    </row>
    <row r="139" spans="1:9" x14ac:dyDescent="0.25">
      <c r="A139" s="27"/>
      <c r="B139" s="28"/>
      <c r="C139" s="29"/>
      <c r="D139" s="29"/>
      <c r="E139" s="28"/>
      <c r="F139" s="13" t="str">
        <f>IF(A139="","",IF(A139=Agendamento!$C$3,"x",""))</f>
        <v/>
      </c>
      <c r="G139" s="13" t="str">
        <f>IF(A139="","",IF(E139=Agendamento!$C$7,"x",""))</f>
        <v/>
      </c>
      <c r="H139" s="13" t="str">
        <f>IF(A139="","",IF(AND(Agendamento!$C$3="",Agendamento!$C$7&lt;&gt;""),IF(Agendamento!$C$7='Base de Dados'!E139,"x",""),IF(AND(Agendamento!$C$3&lt;&gt;"",Agendamento!$C$7=""),IF(Agendamento!$C$3='Base de Dados'!A139,"x",""),IF(AND(Agendamento!$C$3='Base de Dados'!A139,'Base de Dados'!E139=Agendamento!$C$7),"x",""))))</f>
        <v/>
      </c>
      <c r="I139" s="13" t="str">
        <f>IF(H139="x",COUNT($I$1:I138)+1,"")</f>
        <v/>
      </c>
    </row>
    <row r="140" spans="1:9" x14ac:dyDescent="0.25">
      <c r="A140" s="27"/>
      <c r="B140" s="28"/>
      <c r="C140" s="29"/>
      <c r="D140" s="29"/>
      <c r="E140" s="28"/>
      <c r="F140" s="13" t="str">
        <f>IF(A140="","",IF(A140=Agendamento!$C$3,"x",""))</f>
        <v/>
      </c>
      <c r="G140" s="13" t="str">
        <f>IF(A140="","",IF(E140=Agendamento!$C$7,"x",""))</f>
        <v/>
      </c>
      <c r="H140" s="13" t="str">
        <f>IF(A140="","",IF(AND(Agendamento!$C$3="",Agendamento!$C$7&lt;&gt;""),IF(Agendamento!$C$7='Base de Dados'!E140,"x",""),IF(AND(Agendamento!$C$3&lt;&gt;"",Agendamento!$C$7=""),IF(Agendamento!$C$3='Base de Dados'!A140,"x",""),IF(AND(Agendamento!$C$3='Base de Dados'!A140,'Base de Dados'!E140=Agendamento!$C$7),"x",""))))</f>
        <v/>
      </c>
      <c r="I140" s="13" t="str">
        <f>IF(H140="x",COUNT($I$1:I139)+1,"")</f>
        <v/>
      </c>
    </row>
    <row r="141" spans="1:9" x14ac:dyDescent="0.25">
      <c r="A141" s="27"/>
      <c r="B141" s="28"/>
      <c r="C141" s="29"/>
      <c r="D141" s="29"/>
      <c r="E141" s="28"/>
      <c r="F141" s="13" t="str">
        <f>IF(A141="","",IF(A141=Agendamento!$C$3,"x",""))</f>
        <v/>
      </c>
      <c r="G141" s="13" t="str">
        <f>IF(A141="","",IF(E141=Agendamento!$C$7,"x",""))</f>
        <v/>
      </c>
      <c r="H141" s="13" t="str">
        <f>IF(A141="","",IF(AND(Agendamento!$C$3="",Agendamento!$C$7&lt;&gt;""),IF(Agendamento!$C$7='Base de Dados'!E141,"x",""),IF(AND(Agendamento!$C$3&lt;&gt;"",Agendamento!$C$7=""),IF(Agendamento!$C$3='Base de Dados'!A141,"x",""),IF(AND(Agendamento!$C$3='Base de Dados'!A141,'Base de Dados'!E141=Agendamento!$C$7),"x",""))))</f>
        <v/>
      </c>
      <c r="I141" s="13" t="str">
        <f>IF(H141="x",COUNT($I$1:I140)+1,"")</f>
        <v/>
      </c>
    </row>
    <row r="142" spans="1:9" x14ac:dyDescent="0.25">
      <c r="A142" s="27"/>
      <c r="B142" s="28"/>
      <c r="C142" s="29"/>
      <c r="D142" s="29"/>
      <c r="E142" s="28"/>
      <c r="F142" s="13" t="str">
        <f>IF(A142="","",IF(A142=Agendamento!$C$3,"x",""))</f>
        <v/>
      </c>
      <c r="G142" s="13" t="str">
        <f>IF(A142="","",IF(E142=Agendamento!$C$7,"x",""))</f>
        <v/>
      </c>
      <c r="H142" s="13" t="str">
        <f>IF(A142="","",IF(AND(Agendamento!$C$3="",Agendamento!$C$7&lt;&gt;""),IF(Agendamento!$C$7='Base de Dados'!E142,"x",""),IF(AND(Agendamento!$C$3&lt;&gt;"",Agendamento!$C$7=""),IF(Agendamento!$C$3='Base de Dados'!A142,"x",""),IF(AND(Agendamento!$C$3='Base de Dados'!A142,'Base de Dados'!E142=Agendamento!$C$7),"x",""))))</f>
        <v/>
      </c>
      <c r="I142" s="13" t="str">
        <f>IF(H142="x",COUNT($I$1:I141)+1,"")</f>
        <v/>
      </c>
    </row>
    <row r="143" spans="1:9" x14ac:dyDescent="0.25">
      <c r="A143" s="27"/>
      <c r="B143" s="28"/>
      <c r="C143" s="29"/>
      <c r="D143" s="29"/>
      <c r="E143" s="28"/>
      <c r="F143" s="13" t="str">
        <f>IF(A143="","",IF(A143=Agendamento!$C$3,"x",""))</f>
        <v/>
      </c>
      <c r="G143" s="13" t="str">
        <f>IF(A143="","",IF(E143=Agendamento!$C$7,"x",""))</f>
        <v/>
      </c>
      <c r="H143" s="13" t="str">
        <f>IF(A143="","",IF(AND(Agendamento!$C$3="",Agendamento!$C$7&lt;&gt;""),IF(Agendamento!$C$7='Base de Dados'!E143,"x",""),IF(AND(Agendamento!$C$3&lt;&gt;"",Agendamento!$C$7=""),IF(Agendamento!$C$3='Base de Dados'!A143,"x",""),IF(AND(Agendamento!$C$3='Base de Dados'!A143,'Base de Dados'!E143=Agendamento!$C$7),"x",""))))</f>
        <v/>
      </c>
      <c r="I143" s="13" t="str">
        <f>IF(H143="x",COUNT($I$1:I142)+1,"")</f>
        <v/>
      </c>
    </row>
    <row r="144" spans="1:9" x14ac:dyDescent="0.25">
      <c r="A144" s="27"/>
      <c r="B144" s="28"/>
      <c r="C144" s="29"/>
      <c r="D144" s="29"/>
      <c r="E144" s="28"/>
      <c r="F144" s="13" t="str">
        <f>IF(A144="","",IF(A144=Agendamento!$C$3,"x",""))</f>
        <v/>
      </c>
      <c r="G144" s="13" t="str">
        <f>IF(A144="","",IF(E144=Agendamento!$C$7,"x",""))</f>
        <v/>
      </c>
      <c r="H144" s="13" t="str">
        <f>IF(A144="","",IF(AND(Agendamento!$C$3="",Agendamento!$C$7&lt;&gt;""),IF(Agendamento!$C$7='Base de Dados'!E144,"x",""),IF(AND(Agendamento!$C$3&lt;&gt;"",Agendamento!$C$7=""),IF(Agendamento!$C$3='Base de Dados'!A144,"x",""),IF(AND(Agendamento!$C$3='Base de Dados'!A144,'Base de Dados'!E144=Agendamento!$C$7),"x",""))))</f>
        <v/>
      </c>
      <c r="I144" s="13" t="str">
        <f>IF(H144="x",COUNT($I$1:I143)+1,"")</f>
        <v/>
      </c>
    </row>
    <row r="145" spans="1:9" x14ac:dyDescent="0.25">
      <c r="A145" s="27"/>
      <c r="B145" s="28"/>
      <c r="C145" s="29"/>
      <c r="D145" s="29"/>
      <c r="E145" s="28"/>
      <c r="F145" s="13" t="str">
        <f>IF(A145="","",IF(A145=Agendamento!$C$3,"x",""))</f>
        <v/>
      </c>
      <c r="G145" s="13" t="str">
        <f>IF(A145="","",IF(E145=Agendamento!$C$7,"x",""))</f>
        <v/>
      </c>
      <c r="H145" s="13" t="str">
        <f>IF(A145="","",IF(AND(Agendamento!$C$3="",Agendamento!$C$7&lt;&gt;""),IF(Agendamento!$C$7='Base de Dados'!E145,"x",""),IF(AND(Agendamento!$C$3&lt;&gt;"",Agendamento!$C$7=""),IF(Agendamento!$C$3='Base de Dados'!A145,"x",""),IF(AND(Agendamento!$C$3='Base de Dados'!A145,'Base de Dados'!E145=Agendamento!$C$7),"x",""))))</f>
        <v/>
      </c>
      <c r="I145" s="13" t="str">
        <f>IF(H145="x",COUNT($I$1:I144)+1,"")</f>
        <v/>
      </c>
    </row>
    <row r="146" spans="1:9" x14ac:dyDescent="0.25">
      <c r="A146" s="27"/>
      <c r="B146" s="28"/>
      <c r="C146" s="29"/>
      <c r="D146" s="29"/>
      <c r="E146" s="28"/>
      <c r="F146" s="13" t="str">
        <f>IF(A146="","",IF(A146=Agendamento!$C$3,"x",""))</f>
        <v/>
      </c>
      <c r="G146" s="13" t="str">
        <f>IF(A146="","",IF(E146=Agendamento!$C$7,"x",""))</f>
        <v/>
      </c>
      <c r="H146" s="13" t="str">
        <f>IF(A146="","",IF(AND(Agendamento!$C$3="",Agendamento!$C$7&lt;&gt;""),IF(Agendamento!$C$7='Base de Dados'!E146,"x",""),IF(AND(Agendamento!$C$3&lt;&gt;"",Agendamento!$C$7=""),IF(Agendamento!$C$3='Base de Dados'!A146,"x",""),IF(AND(Agendamento!$C$3='Base de Dados'!A146,'Base de Dados'!E146=Agendamento!$C$7),"x",""))))</f>
        <v/>
      </c>
      <c r="I146" s="13" t="str">
        <f>IF(H146="x",COUNT($I$1:I145)+1,"")</f>
        <v/>
      </c>
    </row>
    <row r="147" spans="1:9" x14ac:dyDescent="0.25">
      <c r="A147" s="27"/>
      <c r="B147" s="28"/>
      <c r="C147" s="29"/>
      <c r="D147" s="29"/>
      <c r="E147" s="28"/>
      <c r="F147" s="13" t="str">
        <f>IF(A147="","",IF(A147=Agendamento!$C$3,"x",""))</f>
        <v/>
      </c>
      <c r="G147" s="13" t="str">
        <f>IF(A147="","",IF(E147=Agendamento!$C$7,"x",""))</f>
        <v/>
      </c>
      <c r="H147" s="13" t="str">
        <f>IF(A147="","",IF(AND(Agendamento!$C$3="",Agendamento!$C$7&lt;&gt;""),IF(Agendamento!$C$7='Base de Dados'!E147,"x",""),IF(AND(Agendamento!$C$3&lt;&gt;"",Agendamento!$C$7=""),IF(Agendamento!$C$3='Base de Dados'!A147,"x",""),IF(AND(Agendamento!$C$3='Base de Dados'!A147,'Base de Dados'!E147=Agendamento!$C$7),"x",""))))</f>
        <v/>
      </c>
      <c r="I147" s="13" t="str">
        <f>IF(H147="x",COUNT($I$1:I146)+1,"")</f>
        <v/>
      </c>
    </row>
    <row r="148" spans="1:9" x14ac:dyDescent="0.25">
      <c r="A148" s="27"/>
      <c r="B148" s="28"/>
      <c r="C148" s="29"/>
      <c r="D148" s="29"/>
      <c r="E148" s="28"/>
      <c r="F148" s="13" t="str">
        <f>IF(A148="","",IF(A148=Agendamento!$C$3,"x",""))</f>
        <v/>
      </c>
      <c r="G148" s="13" t="str">
        <f>IF(A148="","",IF(E148=Agendamento!$C$7,"x",""))</f>
        <v/>
      </c>
      <c r="H148" s="13" t="str">
        <f>IF(A148="","",IF(AND(Agendamento!$C$3="",Agendamento!$C$7&lt;&gt;""),IF(Agendamento!$C$7='Base de Dados'!E148,"x",""),IF(AND(Agendamento!$C$3&lt;&gt;"",Agendamento!$C$7=""),IF(Agendamento!$C$3='Base de Dados'!A148,"x",""),IF(AND(Agendamento!$C$3='Base de Dados'!A148,'Base de Dados'!E148=Agendamento!$C$7),"x",""))))</f>
        <v/>
      </c>
      <c r="I148" s="13" t="str">
        <f>IF(H148="x",COUNT($I$1:I147)+1,"")</f>
        <v/>
      </c>
    </row>
    <row r="149" spans="1:9" x14ac:dyDescent="0.25">
      <c r="A149" s="27"/>
      <c r="B149" s="28"/>
      <c r="C149" s="29"/>
      <c r="D149" s="29"/>
      <c r="E149" s="28"/>
      <c r="F149" s="13" t="str">
        <f>IF(A149="","",IF(A149=Agendamento!$C$3,"x",""))</f>
        <v/>
      </c>
      <c r="G149" s="13" t="str">
        <f>IF(A149="","",IF(E149=Agendamento!$C$7,"x",""))</f>
        <v/>
      </c>
      <c r="H149" s="13" t="str">
        <f>IF(A149="","",IF(AND(Agendamento!$C$3="",Agendamento!$C$7&lt;&gt;""),IF(Agendamento!$C$7='Base de Dados'!E149,"x",""),IF(AND(Agendamento!$C$3&lt;&gt;"",Agendamento!$C$7=""),IF(Agendamento!$C$3='Base de Dados'!A149,"x",""),IF(AND(Agendamento!$C$3='Base de Dados'!A149,'Base de Dados'!E149=Agendamento!$C$7),"x",""))))</f>
        <v/>
      </c>
      <c r="I149" s="13" t="str">
        <f>IF(H149="x",COUNT($I$1:I148)+1,"")</f>
        <v/>
      </c>
    </row>
    <row r="150" spans="1:9" x14ac:dyDescent="0.25">
      <c r="A150" s="27"/>
      <c r="B150" s="28"/>
      <c r="C150" s="29"/>
      <c r="D150" s="29"/>
      <c r="E150" s="28"/>
      <c r="F150" s="13" t="str">
        <f>IF(A150="","",IF(A150=Agendamento!$C$3,"x",""))</f>
        <v/>
      </c>
      <c r="G150" s="13" t="str">
        <f>IF(A150="","",IF(E150=Agendamento!$C$7,"x",""))</f>
        <v/>
      </c>
      <c r="H150" s="13" t="str">
        <f>IF(A150="","",IF(AND(Agendamento!$C$3="",Agendamento!$C$7&lt;&gt;""),IF(Agendamento!$C$7='Base de Dados'!E150,"x",""),IF(AND(Agendamento!$C$3&lt;&gt;"",Agendamento!$C$7=""),IF(Agendamento!$C$3='Base de Dados'!A150,"x",""),IF(AND(Agendamento!$C$3='Base de Dados'!A150,'Base de Dados'!E150=Agendamento!$C$7),"x",""))))</f>
        <v/>
      </c>
      <c r="I150" s="13" t="str">
        <f>IF(H150="x",COUNT($I$1:I149)+1,"")</f>
        <v/>
      </c>
    </row>
    <row r="151" spans="1:9" x14ac:dyDescent="0.25">
      <c r="A151" s="27"/>
      <c r="B151" s="28"/>
      <c r="C151" s="29"/>
      <c r="D151" s="29"/>
      <c r="E151" s="28"/>
      <c r="F151" s="13" t="str">
        <f>IF(A151="","",IF(A151=Agendamento!$C$3,"x",""))</f>
        <v/>
      </c>
      <c r="G151" s="13" t="str">
        <f>IF(A151="","",IF(E151=Agendamento!$C$7,"x",""))</f>
        <v/>
      </c>
      <c r="H151" s="13" t="str">
        <f>IF(A151="","",IF(AND(Agendamento!$C$3="",Agendamento!$C$7&lt;&gt;""),IF(Agendamento!$C$7='Base de Dados'!E151,"x",""),IF(AND(Agendamento!$C$3&lt;&gt;"",Agendamento!$C$7=""),IF(Agendamento!$C$3='Base de Dados'!A151,"x",""),IF(AND(Agendamento!$C$3='Base de Dados'!A151,'Base de Dados'!E151=Agendamento!$C$7),"x",""))))</f>
        <v/>
      </c>
      <c r="I151" s="13" t="str">
        <f>IF(H151="x",COUNT($I$1:I150)+1,"")</f>
        <v/>
      </c>
    </row>
    <row r="152" spans="1:9" x14ac:dyDescent="0.25">
      <c r="A152" s="27"/>
      <c r="B152" s="28"/>
      <c r="C152" s="29"/>
      <c r="D152" s="29"/>
      <c r="E152" s="28"/>
      <c r="F152" s="13" t="str">
        <f>IF(A152="","",IF(A152=Agendamento!$C$3,"x",""))</f>
        <v/>
      </c>
      <c r="G152" s="13" t="str">
        <f>IF(A152="","",IF(E152=Agendamento!$C$7,"x",""))</f>
        <v/>
      </c>
      <c r="H152" s="13" t="str">
        <f>IF(A152="","",IF(AND(Agendamento!$C$3="",Agendamento!$C$7&lt;&gt;""),IF(Agendamento!$C$7='Base de Dados'!E152,"x",""),IF(AND(Agendamento!$C$3&lt;&gt;"",Agendamento!$C$7=""),IF(Agendamento!$C$3='Base de Dados'!A152,"x",""),IF(AND(Agendamento!$C$3='Base de Dados'!A152,'Base de Dados'!E152=Agendamento!$C$7),"x",""))))</f>
        <v/>
      </c>
      <c r="I152" s="13" t="str">
        <f>IF(H152="x",COUNT($I$1:I151)+1,"")</f>
        <v/>
      </c>
    </row>
    <row r="153" spans="1:9" x14ac:dyDescent="0.25">
      <c r="A153" s="27"/>
      <c r="B153" s="28"/>
      <c r="C153" s="29"/>
      <c r="D153" s="29"/>
      <c r="E153" s="28"/>
      <c r="F153" s="13" t="str">
        <f>IF(A153="","",IF(A153=Agendamento!$C$3,"x",""))</f>
        <v/>
      </c>
      <c r="G153" s="13" t="str">
        <f>IF(A153="","",IF(E153=Agendamento!$C$7,"x",""))</f>
        <v/>
      </c>
      <c r="H153" s="13" t="str">
        <f>IF(A153="","",IF(AND(Agendamento!$C$3="",Agendamento!$C$7&lt;&gt;""),IF(Agendamento!$C$7='Base de Dados'!E153,"x",""),IF(AND(Agendamento!$C$3&lt;&gt;"",Agendamento!$C$7=""),IF(Agendamento!$C$3='Base de Dados'!A153,"x",""),IF(AND(Agendamento!$C$3='Base de Dados'!A153,'Base de Dados'!E153=Agendamento!$C$7),"x",""))))</f>
        <v/>
      </c>
      <c r="I153" s="13" t="str">
        <f>IF(H153="x",COUNT($I$1:I152)+1,"")</f>
        <v/>
      </c>
    </row>
    <row r="154" spans="1:9" x14ac:dyDescent="0.25">
      <c r="A154" s="27"/>
      <c r="B154" s="28"/>
      <c r="C154" s="29"/>
      <c r="D154" s="29"/>
      <c r="E154" s="28"/>
      <c r="F154" s="13" t="str">
        <f>IF(A154="","",IF(A154=Agendamento!$C$3,"x",""))</f>
        <v/>
      </c>
      <c r="G154" s="13" t="str">
        <f>IF(A154="","",IF(E154=Agendamento!$C$7,"x",""))</f>
        <v/>
      </c>
      <c r="H154" s="13" t="str">
        <f>IF(A154="","",IF(AND(Agendamento!$C$3="",Agendamento!$C$7&lt;&gt;""),IF(Agendamento!$C$7='Base de Dados'!E154,"x",""),IF(AND(Agendamento!$C$3&lt;&gt;"",Agendamento!$C$7=""),IF(Agendamento!$C$3='Base de Dados'!A154,"x",""),IF(AND(Agendamento!$C$3='Base de Dados'!A154,'Base de Dados'!E154=Agendamento!$C$7),"x",""))))</f>
        <v/>
      </c>
      <c r="I154" s="13" t="str">
        <f>IF(H154="x",COUNT($I$1:I153)+1,"")</f>
        <v/>
      </c>
    </row>
    <row r="155" spans="1:9" x14ac:dyDescent="0.25">
      <c r="A155" s="27"/>
      <c r="B155" s="28"/>
      <c r="C155" s="29"/>
      <c r="D155" s="29"/>
      <c r="E155" s="28"/>
      <c r="F155" s="13" t="str">
        <f>IF(A155="","",IF(A155=Agendamento!$C$3,"x",""))</f>
        <v/>
      </c>
      <c r="G155" s="13" t="str">
        <f>IF(A155="","",IF(E155=Agendamento!$C$7,"x",""))</f>
        <v/>
      </c>
      <c r="H155" s="13" t="str">
        <f>IF(A155="","",IF(AND(Agendamento!$C$3="",Agendamento!$C$7&lt;&gt;""),IF(Agendamento!$C$7='Base de Dados'!E155,"x",""),IF(AND(Agendamento!$C$3&lt;&gt;"",Agendamento!$C$7=""),IF(Agendamento!$C$3='Base de Dados'!A155,"x",""),IF(AND(Agendamento!$C$3='Base de Dados'!A155,'Base de Dados'!E155=Agendamento!$C$7),"x",""))))</f>
        <v/>
      </c>
      <c r="I155" s="13" t="str">
        <f>IF(H155="x",COUNT($I$1:I154)+1,"")</f>
        <v/>
      </c>
    </row>
    <row r="156" spans="1:9" x14ac:dyDescent="0.25">
      <c r="A156" s="27"/>
      <c r="B156" s="28"/>
      <c r="C156" s="29"/>
      <c r="D156" s="29"/>
      <c r="E156" s="28"/>
      <c r="F156" s="13" t="str">
        <f>IF(A156="","",IF(A156=Agendamento!$C$3,"x",""))</f>
        <v/>
      </c>
      <c r="G156" s="13" t="str">
        <f>IF(A156="","",IF(E156=Agendamento!$C$7,"x",""))</f>
        <v/>
      </c>
      <c r="H156" s="13" t="str">
        <f>IF(A156="","",IF(AND(Agendamento!$C$3="",Agendamento!$C$7&lt;&gt;""),IF(Agendamento!$C$7='Base de Dados'!E156,"x",""),IF(AND(Agendamento!$C$3&lt;&gt;"",Agendamento!$C$7=""),IF(Agendamento!$C$3='Base de Dados'!A156,"x",""),IF(AND(Agendamento!$C$3='Base de Dados'!A156,'Base de Dados'!E156=Agendamento!$C$7),"x",""))))</f>
        <v/>
      </c>
      <c r="I156" s="13" t="str">
        <f>IF(H156="x",COUNT($I$1:I155)+1,"")</f>
        <v/>
      </c>
    </row>
    <row r="157" spans="1:9" x14ac:dyDescent="0.25">
      <c r="A157" s="27"/>
      <c r="B157" s="28"/>
      <c r="C157" s="29"/>
      <c r="D157" s="29"/>
      <c r="E157" s="28"/>
      <c r="F157" s="13" t="str">
        <f>IF(A157="","",IF(A157=Agendamento!$C$3,"x",""))</f>
        <v/>
      </c>
      <c r="G157" s="13" t="str">
        <f>IF(A157="","",IF(E157=Agendamento!$C$7,"x",""))</f>
        <v/>
      </c>
      <c r="H157" s="13" t="str">
        <f>IF(A157="","",IF(AND(Agendamento!$C$3="",Agendamento!$C$7&lt;&gt;""),IF(Agendamento!$C$7='Base de Dados'!E157,"x",""),IF(AND(Agendamento!$C$3&lt;&gt;"",Agendamento!$C$7=""),IF(Agendamento!$C$3='Base de Dados'!A157,"x",""),IF(AND(Agendamento!$C$3='Base de Dados'!A157,'Base de Dados'!E157=Agendamento!$C$7),"x",""))))</f>
        <v/>
      </c>
      <c r="I157" s="13" t="str">
        <f>IF(H157="x",COUNT($I$1:I156)+1,"")</f>
        <v/>
      </c>
    </row>
    <row r="158" spans="1:9" x14ac:dyDescent="0.25">
      <c r="A158" s="27"/>
      <c r="B158" s="28"/>
      <c r="C158" s="29"/>
      <c r="D158" s="29"/>
      <c r="E158" s="28"/>
      <c r="F158" s="13" t="str">
        <f>IF(A158="","",IF(A158=Agendamento!$C$3,"x",""))</f>
        <v/>
      </c>
      <c r="G158" s="13" t="str">
        <f>IF(A158="","",IF(E158=Agendamento!$C$7,"x",""))</f>
        <v/>
      </c>
      <c r="H158" s="13" t="str">
        <f>IF(A158="","",IF(AND(Agendamento!$C$3="",Agendamento!$C$7&lt;&gt;""),IF(Agendamento!$C$7='Base de Dados'!E158,"x",""),IF(AND(Agendamento!$C$3&lt;&gt;"",Agendamento!$C$7=""),IF(Agendamento!$C$3='Base de Dados'!A158,"x",""),IF(AND(Agendamento!$C$3='Base de Dados'!A158,'Base de Dados'!E158=Agendamento!$C$7),"x",""))))</f>
        <v/>
      </c>
      <c r="I158" s="13" t="str">
        <f>IF(H158="x",COUNT($I$1:I157)+1,"")</f>
        <v/>
      </c>
    </row>
    <row r="159" spans="1:9" x14ac:dyDescent="0.25">
      <c r="A159" s="27"/>
      <c r="B159" s="28"/>
      <c r="C159" s="29"/>
      <c r="D159" s="29"/>
      <c r="E159" s="28"/>
      <c r="F159" s="13" t="str">
        <f>IF(A159="","",IF(A159=Agendamento!$C$3,"x",""))</f>
        <v/>
      </c>
      <c r="G159" s="13" t="str">
        <f>IF(A159="","",IF(E159=Agendamento!$C$7,"x",""))</f>
        <v/>
      </c>
      <c r="H159" s="13" t="str">
        <f>IF(A159="","",IF(AND(Agendamento!$C$3="",Agendamento!$C$7&lt;&gt;""),IF(Agendamento!$C$7='Base de Dados'!E159,"x",""),IF(AND(Agendamento!$C$3&lt;&gt;"",Agendamento!$C$7=""),IF(Agendamento!$C$3='Base de Dados'!A159,"x",""),IF(AND(Agendamento!$C$3='Base de Dados'!A159,'Base de Dados'!E159=Agendamento!$C$7),"x",""))))</f>
        <v/>
      </c>
      <c r="I159" s="13" t="str">
        <f>IF(H159="x",COUNT($I$1:I158)+1,"")</f>
        <v/>
      </c>
    </row>
    <row r="160" spans="1:9" x14ac:dyDescent="0.25">
      <c r="A160" s="27"/>
      <c r="B160" s="28"/>
      <c r="C160" s="29"/>
      <c r="D160" s="29"/>
      <c r="E160" s="28"/>
      <c r="F160" s="13" t="str">
        <f>IF(A160="","",IF(A160=Agendamento!$C$3,"x",""))</f>
        <v/>
      </c>
      <c r="G160" s="13" t="str">
        <f>IF(A160="","",IF(E160=Agendamento!$C$7,"x",""))</f>
        <v/>
      </c>
      <c r="H160" s="13" t="str">
        <f>IF(A160="","",IF(AND(Agendamento!$C$3="",Agendamento!$C$7&lt;&gt;""),IF(Agendamento!$C$7='Base de Dados'!E160,"x",""),IF(AND(Agendamento!$C$3&lt;&gt;"",Agendamento!$C$7=""),IF(Agendamento!$C$3='Base de Dados'!A160,"x",""),IF(AND(Agendamento!$C$3='Base de Dados'!A160,'Base de Dados'!E160=Agendamento!$C$7),"x",""))))</f>
        <v/>
      </c>
      <c r="I160" s="13" t="str">
        <f>IF(H160="x",COUNT($I$1:I159)+1,"")</f>
        <v/>
      </c>
    </row>
    <row r="161" spans="1:9" x14ac:dyDescent="0.25">
      <c r="A161" s="27"/>
      <c r="B161" s="28"/>
      <c r="C161" s="29"/>
      <c r="D161" s="29"/>
      <c r="E161" s="28"/>
      <c r="F161" s="13" t="str">
        <f>IF(A161="","",IF(A161=Agendamento!$C$3,"x",""))</f>
        <v/>
      </c>
      <c r="G161" s="13" t="str">
        <f>IF(A161="","",IF(E161=Agendamento!$C$7,"x",""))</f>
        <v/>
      </c>
      <c r="H161" s="13" t="str">
        <f>IF(A161="","",IF(AND(Agendamento!$C$3="",Agendamento!$C$7&lt;&gt;""),IF(Agendamento!$C$7='Base de Dados'!E161,"x",""),IF(AND(Agendamento!$C$3&lt;&gt;"",Agendamento!$C$7=""),IF(Agendamento!$C$3='Base de Dados'!A161,"x",""),IF(AND(Agendamento!$C$3='Base de Dados'!A161,'Base de Dados'!E161=Agendamento!$C$7),"x",""))))</f>
        <v/>
      </c>
      <c r="I161" s="13" t="str">
        <f>IF(H161="x",COUNT($I$1:I160)+1,"")</f>
        <v/>
      </c>
    </row>
    <row r="162" spans="1:9" x14ac:dyDescent="0.25">
      <c r="A162" s="27"/>
      <c r="B162" s="28"/>
      <c r="C162" s="29"/>
      <c r="D162" s="29"/>
      <c r="E162" s="28"/>
      <c r="F162" s="13" t="str">
        <f>IF(A162="","",IF(A162=Agendamento!$C$3,"x",""))</f>
        <v/>
      </c>
      <c r="G162" s="13" t="str">
        <f>IF(A162="","",IF(E162=Agendamento!$C$7,"x",""))</f>
        <v/>
      </c>
      <c r="H162" s="13" t="str">
        <f>IF(A162="","",IF(AND(Agendamento!$C$3="",Agendamento!$C$7&lt;&gt;""),IF(Agendamento!$C$7='Base de Dados'!E162,"x",""),IF(AND(Agendamento!$C$3&lt;&gt;"",Agendamento!$C$7=""),IF(Agendamento!$C$3='Base de Dados'!A162,"x",""),IF(AND(Agendamento!$C$3='Base de Dados'!A162,'Base de Dados'!E162=Agendamento!$C$7),"x",""))))</f>
        <v/>
      </c>
      <c r="I162" s="13" t="str">
        <f>IF(H162="x",COUNT($I$1:I161)+1,"")</f>
        <v/>
      </c>
    </row>
    <row r="163" spans="1:9" x14ac:dyDescent="0.25">
      <c r="A163" s="27"/>
      <c r="B163" s="28"/>
      <c r="C163" s="29"/>
      <c r="D163" s="29"/>
      <c r="E163" s="28"/>
      <c r="F163" s="13" t="str">
        <f>IF(A163="","",IF(A163=Agendamento!$C$3,"x",""))</f>
        <v/>
      </c>
      <c r="G163" s="13" t="str">
        <f>IF(A163="","",IF(E163=Agendamento!$C$7,"x",""))</f>
        <v/>
      </c>
      <c r="H163" s="13" t="str">
        <f>IF(A163="","",IF(AND(Agendamento!$C$3="",Agendamento!$C$7&lt;&gt;""),IF(Agendamento!$C$7='Base de Dados'!E163,"x",""),IF(AND(Agendamento!$C$3&lt;&gt;"",Agendamento!$C$7=""),IF(Agendamento!$C$3='Base de Dados'!A163,"x",""),IF(AND(Agendamento!$C$3='Base de Dados'!A163,'Base de Dados'!E163=Agendamento!$C$7),"x",""))))</f>
        <v/>
      </c>
      <c r="I163" s="13" t="str">
        <f>IF(H163="x",COUNT($I$1:I162)+1,"")</f>
        <v/>
      </c>
    </row>
    <row r="164" spans="1:9" x14ac:dyDescent="0.25">
      <c r="A164" s="27"/>
      <c r="B164" s="28"/>
      <c r="C164" s="29"/>
      <c r="D164" s="29"/>
      <c r="E164" s="28"/>
      <c r="F164" s="13" t="str">
        <f>IF(A164="","",IF(A164=Agendamento!$C$3,"x",""))</f>
        <v/>
      </c>
      <c r="G164" s="13" t="str">
        <f>IF(A164="","",IF(E164=Agendamento!$C$7,"x",""))</f>
        <v/>
      </c>
      <c r="H164" s="13" t="str">
        <f>IF(A164="","",IF(AND(Agendamento!$C$3="",Agendamento!$C$7&lt;&gt;""),IF(Agendamento!$C$7='Base de Dados'!E164,"x",""),IF(AND(Agendamento!$C$3&lt;&gt;"",Agendamento!$C$7=""),IF(Agendamento!$C$3='Base de Dados'!A164,"x",""),IF(AND(Agendamento!$C$3='Base de Dados'!A164,'Base de Dados'!E164=Agendamento!$C$7),"x",""))))</f>
        <v/>
      </c>
      <c r="I164" s="13" t="str">
        <f>IF(H164="x",COUNT($I$1:I163)+1,"")</f>
        <v/>
      </c>
    </row>
    <row r="165" spans="1:9" x14ac:dyDescent="0.25">
      <c r="A165" s="27"/>
      <c r="B165" s="28"/>
      <c r="C165" s="29"/>
      <c r="D165" s="29"/>
      <c r="E165" s="28"/>
      <c r="F165" s="13" t="str">
        <f>IF(A165="","",IF(A165=Agendamento!$C$3,"x",""))</f>
        <v/>
      </c>
      <c r="G165" s="13" t="str">
        <f>IF(A165="","",IF(E165=Agendamento!$C$7,"x",""))</f>
        <v/>
      </c>
      <c r="H165" s="13" t="str">
        <f>IF(A165="","",IF(AND(Agendamento!$C$3="",Agendamento!$C$7&lt;&gt;""),IF(Agendamento!$C$7='Base de Dados'!E165,"x",""),IF(AND(Agendamento!$C$3&lt;&gt;"",Agendamento!$C$7=""),IF(Agendamento!$C$3='Base de Dados'!A165,"x",""),IF(AND(Agendamento!$C$3='Base de Dados'!A165,'Base de Dados'!E165=Agendamento!$C$7),"x",""))))</f>
        <v/>
      </c>
      <c r="I165" s="13" t="str">
        <f>IF(H165="x",COUNT($I$1:I164)+1,"")</f>
        <v/>
      </c>
    </row>
    <row r="166" spans="1:9" x14ac:dyDescent="0.25">
      <c r="A166" s="27"/>
      <c r="B166" s="28"/>
      <c r="C166" s="29"/>
      <c r="D166" s="29"/>
      <c r="E166" s="28"/>
      <c r="F166" s="13" t="str">
        <f>IF(A166="","",IF(A166=Agendamento!$C$3,"x",""))</f>
        <v/>
      </c>
      <c r="G166" s="13" t="str">
        <f>IF(A166="","",IF(E166=Agendamento!$C$7,"x",""))</f>
        <v/>
      </c>
      <c r="H166" s="13" t="str">
        <f>IF(A166="","",IF(AND(Agendamento!$C$3="",Agendamento!$C$7&lt;&gt;""),IF(Agendamento!$C$7='Base de Dados'!E166,"x",""),IF(AND(Agendamento!$C$3&lt;&gt;"",Agendamento!$C$7=""),IF(Agendamento!$C$3='Base de Dados'!A166,"x",""),IF(AND(Agendamento!$C$3='Base de Dados'!A166,'Base de Dados'!E166=Agendamento!$C$7),"x",""))))</f>
        <v/>
      </c>
      <c r="I166" s="13" t="str">
        <f>IF(H166="x",COUNT($I$1:I165)+1,"")</f>
        <v/>
      </c>
    </row>
    <row r="167" spans="1:9" x14ac:dyDescent="0.25">
      <c r="A167" s="27"/>
      <c r="B167" s="28"/>
      <c r="C167" s="29"/>
      <c r="D167" s="29"/>
      <c r="E167" s="28"/>
      <c r="F167" s="13" t="str">
        <f>IF(A167="","",IF(A167=Agendamento!$C$3,"x",""))</f>
        <v/>
      </c>
      <c r="G167" s="13" t="str">
        <f>IF(A167="","",IF(E167=Agendamento!$C$7,"x",""))</f>
        <v/>
      </c>
      <c r="H167" s="13" t="str">
        <f>IF(A167="","",IF(AND(Agendamento!$C$3="",Agendamento!$C$7&lt;&gt;""),IF(Agendamento!$C$7='Base de Dados'!E167,"x",""),IF(AND(Agendamento!$C$3&lt;&gt;"",Agendamento!$C$7=""),IF(Agendamento!$C$3='Base de Dados'!A167,"x",""),IF(AND(Agendamento!$C$3='Base de Dados'!A167,'Base de Dados'!E167=Agendamento!$C$7),"x",""))))</f>
        <v/>
      </c>
      <c r="I167" s="13" t="str">
        <f>IF(H167="x",COUNT($I$1:I166)+1,"")</f>
        <v/>
      </c>
    </row>
    <row r="168" spans="1:9" x14ac:dyDescent="0.25">
      <c r="A168" s="27"/>
      <c r="B168" s="28"/>
      <c r="C168" s="29"/>
      <c r="D168" s="29"/>
      <c r="E168" s="28"/>
      <c r="F168" s="13" t="str">
        <f>IF(A168="","",IF(A168=Agendamento!$C$3,"x",""))</f>
        <v/>
      </c>
      <c r="G168" s="13" t="str">
        <f>IF(A168="","",IF(E168=Agendamento!$C$7,"x",""))</f>
        <v/>
      </c>
      <c r="H168" s="13" t="str">
        <f>IF(A168="","",IF(AND(Agendamento!$C$3="",Agendamento!$C$7&lt;&gt;""),IF(Agendamento!$C$7='Base de Dados'!E168,"x",""),IF(AND(Agendamento!$C$3&lt;&gt;"",Agendamento!$C$7=""),IF(Agendamento!$C$3='Base de Dados'!A168,"x",""),IF(AND(Agendamento!$C$3='Base de Dados'!A168,'Base de Dados'!E168=Agendamento!$C$7),"x",""))))</f>
        <v/>
      </c>
      <c r="I168" s="13" t="str">
        <f>IF(H168="x",COUNT($I$1:I167)+1,"")</f>
        <v/>
      </c>
    </row>
    <row r="169" spans="1:9" x14ac:dyDescent="0.25">
      <c r="A169" s="27"/>
      <c r="B169" s="28"/>
      <c r="C169" s="29"/>
      <c r="D169" s="29"/>
      <c r="E169" s="28"/>
      <c r="F169" s="13" t="str">
        <f>IF(A169="","",IF(A169=Agendamento!$C$3,"x",""))</f>
        <v/>
      </c>
      <c r="G169" s="13" t="str">
        <f>IF(A169="","",IF(E169=Agendamento!$C$7,"x",""))</f>
        <v/>
      </c>
      <c r="H169" s="13" t="str">
        <f>IF(A169="","",IF(AND(Agendamento!$C$3="",Agendamento!$C$7&lt;&gt;""),IF(Agendamento!$C$7='Base de Dados'!E169,"x",""),IF(AND(Agendamento!$C$3&lt;&gt;"",Agendamento!$C$7=""),IF(Agendamento!$C$3='Base de Dados'!A169,"x",""),IF(AND(Agendamento!$C$3='Base de Dados'!A169,'Base de Dados'!E169=Agendamento!$C$7),"x",""))))</f>
        <v/>
      </c>
      <c r="I169" s="13" t="str">
        <f>IF(H169="x",COUNT($I$1:I168)+1,"")</f>
        <v/>
      </c>
    </row>
    <row r="170" spans="1:9" x14ac:dyDescent="0.25">
      <c r="A170" s="27"/>
      <c r="B170" s="28"/>
      <c r="C170" s="29"/>
      <c r="D170" s="29"/>
      <c r="E170" s="28"/>
      <c r="F170" s="13" t="str">
        <f>IF(A170="","",IF(A170=Agendamento!$C$3,"x",""))</f>
        <v/>
      </c>
      <c r="G170" s="13" t="str">
        <f>IF(A170="","",IF(E170=Agendamento!$C$7,"x",""))</f>
        <v/>
      </c>
      <c r="H170" s="13" t="str">
        <f>IF(A170="","",IF(AND(Agendamento!$C$3="",Agendamento!$C$7&lt;&gt;""),IF(Agendamento!$C$7='Base de Dados'!E170,"x",""),IF(AND(Agendamento!$C$3&lt;&gt;"",Agendamento!$C$7=""),IF(Agendamento!$C$3='Base de Dados'!A170,"x",""),IF(AND(Agendamento!$C$3='Base de Dados'!A170,'Base de Dados'!E170=Agendamento!$C$7),"x",""))))</f>
        <v/>
      </c>
      <c r="I170" s="13" t="str">
        <f>IF(H170="x",COUNT($I$1:I169)+1,"")</f>
        <v/>
      </c>
    </row>
    <row r="171" spans="1:9" x14ac:dyDescent="0.25">
      <c r="A171" s="27"/>
      <c r="B171" s="28"/>
      <c r="C171" s="29"/>
      <c r="D171" s="29"/>
      <c r="E171" s="28"/>
      <c r="F171" s="13" t="str">
        <f>IF(A171="","",IF(A171=Agendamento!$C$3,"x",""))</f>
        <v/>
      </c>
      <c r="G171" s="13" t="str">
        <f>IF(A171="","",IF(E171=Agendamento!$C$7,"x",""))</f>
        <v/>
      </c>
      <c r="H171" s="13" t="str">
        <f>IF(A171="","",IF(AND(Agendamento!$C$3="",Agendamento!$C$7&lt;&gt;""),IF(Agendamento!$C$7='Base de Dados'!E171,"x",""),IF(AND(Agendamento!$C$3&lt;&gt;"",Agendamento!$C$7=""),IF(Agendamento!$C$3='Base de Dados'!A171,"x",""),IF(AND(Agendamento!$C$3='Base de Dados'!A171,'Base de Dados'!E171=Agendamento!$C$7),"x",""))))</f>
        <v/>
      </c>
      <c r="I171" s="13" t="str">
        <f>IF(H171="x",COUNT($I$1:I170)+1,"")</f>
        <v/>
      </c>
    </row>
    <row r="172" spans="1:9" x14ac:dyDescent="0.25">
      <c r="A172" s="27"/>
      <c r="B172" s="28"/>
      <c r="C172" s="29"/>
      <c r="D172" s="29"/>
      <c r="E172" s="28"/>
      <c r="F172" s="13" t="str">
        <f>IF(A172="","",IF(A172=Agendamento!$C$3,"x",""))</f>
        <v/>
      </c>
      <c r="G172" s="13" t="str">
        <f>IF(A172="","",IF(E172=Agendamento!$C$7,"x",""))</f>
        <v/>
      </c>
      <c r="H172" s="13" t="str">
        <f>IF(A172="","",IF(AND(Agendamento!$C$3="",Agendamento!$C$7&lt;&gt;""),IF(Agendamento!$C$7='Base de Dados'!E172,"x",""),IF(AND(Agendamento!$C$3&lt;&gt;"",Agendamento!$C$7=""),IF(Agendamento!$C$3='Base de Dados'!A172,"x",""),IF(AND(Agendamento!$C$3='Base de Dados'!A172,'Base de Dados'!E172=Agendamento!$C$7),"x",""))))</f>
        <v/>
      </c>
      <c r="I172" s="13" t="str">
        <f>IF(H172="x",COUNT($I$1:I171)+1,"")</f>
        <v/>
      </c>
    </row>
    <row r="173" spans="1:9" x14ac:dyDescent="0.25">
      <c r="A173" s="27"/>
      <c r="B173" s="28"/>
      <c r="C173" s="29"/>
      <c r="D173" s="29"/>
      <c r="E173" s="28"/>
      <c r="F173" s="13" t="str">
        <f>IF(A173="","",IF(A173=Agendamento!$C$3,"x",""))</f>
        <v/>
      </c>
      <c r="G173" s="13" t="str">
        <f>IF(A173="","",IF(E173=Agendamento!$C$7,"x",""))</f>
        <v/>
      </c>
      <c r="H173" s="13" t="str">
        <f>IF(A173="","",IF(AND(Agendamento!$C$3="",Agendamento!$C$7&lt;&gt;""),IF(Agendamento!$C$7='Base de Dados'!E173,"x",""),IF(AND(Agendamento!$C$3&lt;&gt;"",Agendamento!$C$7=""),IF(Agendamento!$C$3='Base de Dados'!A173,"x",""),IF(AND(Agendamento!$C$3='Base de Dados'!A173,'Base de Dados'!E173=Agendamento!$C$7),"x",""))))</f>
        <v/>
      </c>
      <c r="I173" s="13" t="str">
        <f>IF(H173="x",COUNT($I$1:I172)+1,"")</f>
        <v/>
      </c>
    </row>
    <row r="174" spans="1:9" x14ac:dyDescent="0.25">
      <c r="A174" s="27"/>
      <c r="B174" s="28"/>
      <c r="C174" s="29"/>
      <c r="D174" s="29"/>
      <c r="E174" s="28"/>
      <c r="F174" s="13" t="str">
        <f>IF(A174="","",IF(A174=Agendamento!$C$3,"x",""))</f>
        <v/>
      </c>
      <c r="G174" s="13" t="str">
        <f>IF(A174="","",IF(E174=Agendamento!$C$7,"x",""))</f>
        <v/>
      </c>
      <c r="H174" s="13" t="str">
        <f>IF(A174="","",IF(AND(Agendamento!$C$3="",Agendamento!$C$7&lt;&gt;""),IF(Agendamento!$C$7='Base de Dados'!E174,"x",""),IF(AND(Agendamento!$C$3&lt;&gt;"",Agendamento!$C$7=""),IF(Agendamento!$C$3='Base de Dados'!A174,"x",""),IF(AND(Agendamento!$C$3='Base de Dados'!A174,'Base de Dados'!E174=Agendamento!$C$7),"x",""))))</f>
        <v/>
      </c>
      <c r="I174" s="13" t="str">
        <f>IF(H174="x",COUNT($I$1:I173)+1,"")</f>
        <v/>
      </c>
    </row>
    <row r="175" spans="1:9" x14ac:dyDescent="0.25">
      <c r="A175" s="27"/>
      <c r="B175" s="28"/>
      <c r="C175" s="29"/>
      <c r="D175" s="29"/>
      <c r="E175" s="28"/>
      <c r="F175" s="13" t="str">
        <f>IF(A175="","",IF(A175=Agendamento!$C$3,"x",""))</f>
        <v/>
      </c>
      <c r="G175" s="13" t="str">
        <f>IF(A175="","",IF(E175=Agendamento!$C$7,"x",""))</f>
        <v/>
      </c>
      <c r="H175" s="13" t="str">
        <f>IF(A175="","",IF(AND(Agendamento!$C$3="",Agendamento!$C$7&lt;&gt;""),IF(Agendamento!$C$7='Base de Dados'!E175,"x",""),IF(AND(Agendamento!$C$3&lt;&gt;"",Agendamento!$C$7=""),IF(Agendamento!$C$3='Base de Dados'!A175,"x",""),IF(AND(Agendamento!$C$3='Base de Dados'!A175,'Base de Dados'!E175=Agendamento!$C$7),"x",""))))</f>
        <v/>
      </c>
      <c r="I175" s="13" t="str">
        <f>IF(H175="x",COUNT($I$1:I174)+1,"")</f>
        <v/>
      </c>
    </row>
    <row r="176" spans="1:9" x14ac:dyDescent="0.25">
      <c r="A176" s="27"/>
      <c r="B176" s="28"/>
      <c r="C176" s="29"/>
      <c r="D176" s="29"/>
      <c r="E176" s="28"/>
      <c r="F176" s="13" t="str">
        <f>IF(A176="","",IF(A176=Agendamento!$C$3,"x",""))</f>
        <v/>
      </c>
      <c r="G176" s="13" t="str">
        <f>IF(A176="","",IF(E176=Agendamento!$C$7,"x",""))</f>
        <v/>
      </c>
      <c r="H176" s="13" t="str">
        <f>IF(A176="","",IF(AND(Agendamento!$C$3="",Agendamento!$C$7&lt;&gt;""),IF(Agendamento!$C$7='Base de Dados'!E176,"x",""),IF(AND(Agendamento!$C$3&lt;&gt;"",Agendamento!$C$7=""),IF(Agendamento!$C$3='Base de Dados'!A176,"x",""),IF(AND(Agendamento!$C$3='Base de Dados'!A176,'Base de Dados'!E176=Agendamento!$C$7),"x",""))))</f>
        <v/>
      </c>
      <c r="I176" s="13" t="str">
        <f>IF(H176="x",COUNT($I$1:I175)+1,"")</f>
        <v/>
      </c>
    </row>
    <row r="177" spans="1:9" x14ac:dyDescent="0.25">
      <c r="A177" s="27"/>
      <c r="B177" s="28"/>
      <c r="C177" s="29"/>
      <c r="D177" s="29"/>
      <c r="E177" s="28"/>
      <c r="F177" s="13" t="str">
        <f>IF(A177="","",IF(A177=Agendamento!$C$3,"x",""))</f>
        <v/>
      </c>
      <c r="G177" s="13" t="str">
        <f>IF(A177="","",IF(E177=Agendamento!$C$7,"x",""))</f>
        <v/>
      </c>
      <c r="H177" s="13" t="str">
        <f>IF(A177="","",IF(AND(Agendamento!$C$3="",Agendamento!$C$7&lt;&gt;""),IF(Agendamento!$C$7='Base de Dados'!E177,"x",""),IF(AND(Agendamento!$C$3&lt;&gt;"",Agendamento!$C$7=""),IF(Agendamento!$C$3='Base de Dados'!A177,"x",""),IF(AND(Agendamento!$C$3='Base de Dados'!A177,'Base de Dados'!E177=Agendamento!$C$7),"x",""))))</f>
        <v/>
      </c>
      <c r="I177" s="13" t="str">
        <f>IF(H177="x",COUNT($I$1:I176)+1,"")</f>
        <v/>
      </c>
    </row>
    <row r="178" spans="1:9" x14ac:dyDescent="0.25">
      <c r="A178" s="27"/>
      <c r="B178" s="28"/>
      <c r="C178" s="29"/>
      <c r="D178" s="29"/>
      <c r="E178" s="28"/>
      <c r="F178" s="13" t="str">
        <f>IF(A178="","",IF(A178=Agendamento!$C$3,"x",""))</f>
        <v/>
      </c>
      <c r="G178" s="13" t="str">
        <f>IF(A178="","",IF(E178=Agendamento!$C$7,"x",""))</f>
        <v/>
      </c>
      <c r="H178" s="13" t="str">
        <f>IF(A178="","",IF(AND(Agendamento!$C$3="",Agendamento!$C$7&lt;&gt;""),IF(Agendamento!$C$7='Base de Dados'!E178,"x",""),IF(AND(Agendamento!$C$3&lt;&gt;"",Agendamento!$C$7=""),IF(Agendamento!$C$3='Base de Dados'!A178,"x",""),IF(AND(Agendamento!$C$3='Base de Dados'!A178,'Base de Dados'!E178=Agendamento!$C$7),"x",""))))</f>
        <v/>
      </c>
      <c r="I178" s="13" t="str">
        <f>IF(H178="x",COUNT($I$1:I177)+1,"")</f>
        <v/>
      </c>
    </row>
    <row r="179" spans="1:9" x14ac:dyDescent="0.25">
      <c r="A179" s="27"/>
      <c r="B179" s="28"/>
      <c r="C179" s="29"/>
      <c r="D179" s="29"/>
      <c r="E179" s="28"/>
      <c r="F179" s="13" t="str">
        <f>IF(A179="","",IF(A179=Agendamento!$C$3,"x",""))</f>
        <v/>
      </c>
      <c r="G179" s="13" t="str">
        <f>IF(A179="","",IF(E179=Agendamento!$C$7,"x",""))</f>
        <v/>
      </c>
      <c r="H179" s="13" t="str">
        <f>IF(A179="","",IF(AND(Agendamento!$C$3="",Agendamento!$C$7&lt;&gt;""),IF(Agendamento!$C$7='Base de Dados'!E179,"x",""),IF(AND(Agendamento!$C$3&lt;&gt;"",Agendamento!$C$7=""),IF(Agendamento!$C$3='Base de Dados'!A179,"x",""),IF(AND(Agendamento!$C$3='Base de Dados'!A179,'Base de Dados'!E179=Agendamento!$C$7),"x",""))))</f>
        <v/>
      </c>
      <c r="I179" s="13" t="str">
        <f>IF(H179="x",COUNT($I$1:I178)+1,"")</f>
        <v/>
      </c>
    </row>
    <row r="180" spans="1:9" x14ac:dyDescent="0.25">
      <c r="A180" s="27"/>
      <c r="B180" s="28"/>
      <c r="C180" s="29"/>
      <c r="D180" s="29"/>
      <c r="E180" s="28"/>
      <c r="F180" s="13" t="str">
        <f>IF(A180="","",IF(A180=Agendamento!$C$3,"x",""))</f>
        <v/>
      </c>
      <c r="G180" s="13" t="str">
        <f>IF(A180="","",IF(E180=Agendamento!$C$7,"x",""))</f>
        <v/>
      </c>
      <c r="H180" s="13" t="str">
        <f>IF(A180="","",IF(AND(Agendamento!$C$3="",Agendamento!$C$7&lt;&gt;""),IF(Agendamento!$C$7='Base de Dados'!E180,"x",""),IF(AND(Agendamento!$C$3&lt;&gt;"",Agendamento!$C$7=""),IF(Agendamento!$C$3='Base de Dados'!A180,"x",""),IF(AND(Agendamento!$C$3='Base de Dados'!A180,'Base de Dados'!E180=Agendamento!$C$7),"x",""))))</f>
        <v/>
      </c>
      <c r="I180" s="13" t="str">
        <f>IF(H180="x",COUNT($I$1:I179)+1,"")</f>
        <v/>
      </c>
    </row>
    <row r="181" spans="1:9" x14ac:dyDescent="0.25">
      <c r="A181" s="27"/>
      <c r="B181" s="28"/>
      <c r="C181" s="29"/>
      <c r="D181" s="29"/>
      <c r="E181" s="28"/>
      <c r="F181" s="13" t="str">
        <f>IF(A181="","",IF(A181=Agendamento!$C$3,"x",""))</f>
        <v/>
      </c>
      <c r="G181" s="13" t="str">
        <f>IF(A181="","",IF(E181=Agendamento!$C$7,"x",""))</f>
        <v/>
      </c>
      <c r="H181" s="13" t="str">
        <f>IF(A181="","",IF(AND(Agendamento!$C$3="",Agendamento!$C$7&lt;&gt;""),IF(Agendamento!$C$7='Base de Dados'!E181,"x",""),IF(AND(Agendamento!$C$3&lt;&gt;"",Agendamento!$C$7=""),IF(Agendamento!$C$3='Base de Dados'!A181,"x",""),IF(AND(Agendamento!$C$3='Base de Dados'!A181,'Base de Dados'!E181=Agendamento!$C$7),"x",""))))</f>
        <v/>
      </c>
      <c r="I181" s="13" t="str">
        <f>IF(H181="x",COUNT($I$1:I180)+1,"")</f>
        <v/>
      </c>
    </row>
    <row r="182" spans="1:9" x14ac:dyDescent="0.25">
      <c r="A182" s="27"/>
      <c r="B182" s="28"/>
      <c r="C182" s="29"/>
      <c r="D182" s="29"/>
      <c r="E182" s="28"/>
      <c r="F182" s="13" t="str">
        <f>IF(A182="","",IF(A182=Agendamento!$C$3,"x",""))</f>
        <v/>
      </c>
      <c r="G182" s="13" t="str">
        <f>IF(A182="","",IF(E182=Agendamento!$C$7,"x",""))</f>
        <v/>
      </c>
      <c r="H182" s="13" t="str">
        <f>IF(A182="","",IF(AND(Agendamento!$C$3="",Agendamento!$C$7&lt;&gt;""),IF(Agendamento!$C$7='Base de Dados'!E182,"x",""),IF(AND(Agendamento!$C$3&lt;&gt;"",Agendamento!$C$7=""),IF(Agendamento!$C$3='Base de Dados'!A182,"x",""),IF(AND(Agendamento!$C$3='Base de Dados'!A182,'Base de Dados'!E182=Agendamento!$C$7),"x",""))))</f>
        <v/>
      </c>
      <c r="I182" s="13" t="str">
        <f>IF(H182="x",COUNT($I$1:I181)+1,"")</f>
        <v/>
      </c>
    </row>
    <row r="183" spans="1:9" x14ac:dyDescent="0.25">
      <c r="A183" s="27"/>
      <c r="B183" s="28"/>
      <c r="C183" s="29"/>
      <c r="D183" s="29"/>
      <c r="E183" s="28"/>
      <c r="F183" s="13" t="str">
        <f>IF(A183="","",IF(A183=Agendamento!$C$3,"x",""))</f>
        <v/>
      </c>
      <c r="G183" s="13" t="str">
        <f>IF(A183="","",IF(E183=Agendamento!$C$7,"x",""))</f>
        <v/>
      </c>
      <c r="H183" s="13" t="str">
        <f>IF(A183="","",IF(AND(Agendamento!$C$3="",Agendamento!$C$7&lt;&gt;""),IF(Agendamento!$C$7='Base de Dados'!E183,"x",""),IF(AND(Agendamento!$C$3&lt;&gt;"",Agendamento!$C$7=""),IF(Agendamento!$C$3='Base de Dados'!A183,"x",""),IF(AND(Agendamento!$C$3='Base de Dados'!A183,'Base de Dados'!E183=Agendamento!$C$7),"x",""))))</f>
        <v/>
      </c>
      <c r="I183" s="13" t="str">
        <f>IF(H183="x",COUNT($I$1:I182)+1,"")</f>
        <v/>
      </c>
    </row>
    <row r="184" spans="1:9" x14ac:dyDescent="0.25">
      <c r="A184" s="27"/>
      <c r="B184" s="28"/>
      <c r="C184" s="29"/>
      <c r="D184" s="29"/>
      <c r="E184" s="28"/>
      <c r="F184" s="13" t="str">
        <f>IF(A184="","",IF(A184=Agendamento!$C$3,"x",""))</f>
        <v/>
      </c>
      <c r="G184" s="13" t="str">
        <f>IF(A184="","",IF(E184=Agendamento!$C$7,"x",""))</f>
        <v/>
      </c>
      <c r="H184" s="13" t="str">
        <f>IF(A184="","",IF(AND(Agendamento!$C$3="",Agendamento!$C$7&lt;&gt;""),IF(Agendamento!$C$7='Base de Dados'!E184,"x",""),IF(AND(Agendamento!$C$3&lt;&gt;"",Agendamento!$C$7=""),IF(Agendamento!$C$3='Base de Dados'!A184,"x",""),IF(AND(Agendamento!$C$3='Base de Dados'!A184,'Base de Dados'!E184=Agendamento!$C$7),"x",""))))</f>
        <v/>
      </c>
      <c r="I184" s="13" t="str">
        <f>IF(H184="x",COUNT($I$1:I183)+1,"")</f>
        <v/>
      </c>
    </row>
    <row r="185" spans="1:9" x14ac:dyDescent="0.25">
      <c r="A185" s="27"/>
      <c r="B185" s="28"/>
      <c r="C185" s="29"/>
      <c r="D185" s="29"/>
      <c r="E185" s="28"/>
      <c r="F185" s="13" t="str">
        <f>IF(A185="","",IF(A185=Agendamento!$C$3,"x",""))</f>
        <v/>
      </c>
      <c r="G185" s="13" t="str">
        <f>IF(A185="","",IF(E185=Agendamento!$C$7,"x",""))</f>
        <v/>
      </c>
      <c r="H185" s="13" t="str">
        <f>IF(A185="","",IF(AND(Agendamento!$C$3="",Agendamento!$C$7&lt;&gt;""),IF(Agendamento!$C$7='Base de Dados'!E185,"x",""),IF(AND(Agendamento!$C$3&lt;&gt;"",Agendamento!$C$7=""),IF(Agendamento!$C$3='Base de Dados'!A185,"x",""),IF(AND(Agendamento!$C$3='Base de Dados'!A185,'Base de Dados'!E185=Agendamento!$C$7),"x",""))))</f>
        <v/>
      </c>
      <c r="I185" s="13" t="str">
        <f>IF(H185="x",COUNT($I$1:I184)+1,"")</f>
        <v/>
      </c>
    </row>
    <row r="186" spans="1:9" x14ac:dyDescent="0.25">
      <c r="A186" s="27"/>
      <c r="B186" s="28"/>
      <c r="C186" s="29"/>
      <c r="D186" s="29"/>
      <c r="E186" s="28"/>
      <c r="F186" s="13" t="str">
        <f>IF(A186="","",IF(A186=Agendamento!$C$3,"x",""))</f>
        <v/>
      </c>
      <c r="G186" s="13" t="str">
        <f>IF(A186="","",IF(E186=Agendamento!$C$7,"x",""))</f>
        <v/>
      </c>
      <c r="H186" s="13" t="str">
        <f>IF(A186="","",IF(AND(Agendamento!$C$3="",Agendamento!$C$7&lt;&gt;""),IF(Agendamento!$C$7='Base de Dados'!E186,"x",""),IF(AND(Agendamento!$C$3&lt;&gt;"",Agendamento!$C$7=""),IF(Agendamento!$C$3='Base de Dados'!A186,"x",""),IF(AND(Agendamento!$C$3='Base de Dados'!A186,'Base de Dados'!E186=Agendamento!$C$7),"x",""))))</f>
        <v/>
      </c>
      <c r="I186" s="13" t="str">
        <f>IF(H186="x",COUNT($I$1:I185)+1,"")</f>
        <v/>
      </c>
    </row>
    <row r="187" spans="1:9" x14ac:dyDescent="0.25">
      <c r="A187" s="27"/>
      <c r="B187" s="28"/>
      <c r="C187" s="29"/>
      <c r="D187" s="29"/>
      <c r="E187" s="28"/>
      <c r="F187" s="13" t="str">
        <f>IF(A187="","",IF(A187=Agendamento!$C$3,"x",""))</f>
        <v/>
      </c>
      <c r="G187" s="13" t="str">
        <f>IF(A187="","",IF(E187=Agendamento!$C$7,"x",""))</f>
        <v/>
      </c>
      <c r="H187" s="13" t="str">
        <f>IF(A187="","",IF(AND(Agendamento!$C$3="",Agendamento!$C$7&lt;&gt;""),IF(Agendamento!$C$7='Base de Dados'!E187,"x",""),IF(AND(Agendamento!$C$3&lt;&gt;"",Agendamento!$C$7=""),IF(Agendamento!$C$3='Base de Dados'!A187,"x",""),IF(AND(Agendamento!$C$3='Base de Dados'!A187,'Base de Dados'!E187=Agendamento!$C$7),"x",""))))</f>
        <v/>
      </c>
      <c r="I187" s="13" t="str">
        <f>IF(H187="x",COUNT($I$1:I186)+1,"")</f>
        <v/>
      </c>
    </row>
    <row r="188" spans="1:9" x14ac:dyDescent="0.25">
      <c r="A188" s="27"/>
      <c r="B188" s="28"/>
      <c r="C188" s="29"/>
      <c r="D188" s="29"/>
      <c r="E188" s="28"/>
      <c r="F188" s="13" t="str">
        <f>IF(A188="","",IF(A188=Agendamento!$C$3,"x",""))</f>
        <v/>
      </c>
      <c r="G188" s="13" t="str">
        <f>IF(A188="","",IF(E188=Agendamento!$C$7,"x",""))</f>
        <v/>
      </c>
      <c r="H188" s="13" t="str">
        <f>IF(A188="","",IF(AND(Agendamento!$C$3="",Agendamento!$C$7&lt;&gt;""),IF(Agendamento!$C$7='Base de Dados'!E188,"x",""),IF(AND(Agendamento!$C$3&lt;&gt;"",Agendamento!$C$7=""),IF(Agendamento!$C$3='Base de Dados'!A188,"x",""),IF(AND(Agendamento!$C$3='Base de Dados'!A188,'Base de Dados'!E188=Agendamento!$C$7),"x",""))))</f>
        <v/>
      </c>
      <c r="I188" s="13" t="str">
        <f>IF(H188="x",COUNT($I$1:I187)+1,"")</f>
        <v/>
      </c>
    </row>
    <row r="189" spans="1:9" x14ac:dyDescent="0.25">
      <c r="A189" s="27"/>
      <c r="B189" s="28"/>
      <c r="C189" s="29"/>
      <c r="D189" s="29"/>
      <c r="E189" s="28"/>
      <c r="F189" s="13" t="str">
        <f>IF(A189="","",IF(A189=Agendamento!$C$3,"x",""))</f>
        <v/>
      </c>
      <c r="G189" s="13" t="str">
        <f>IF(A189="","",IF(E189=Agendamento!$C$7,"x",""))</f>
        <v/>
      </c>
      <c r="H189" s="13" t="str">
        <f>IF(A189="","",IF(AND(Agendamento!$C$3="",Agendamento!$C$7&lt;&gt;""),IF(Agendamento!$C$7='Base de Dados'!E189,"x",""),IF(AND(Agendamento!$C$3&lt;&gt;"",Agendamento!$C$7=""),IF(Agendamento!$C$3='Base de Dados'!A189,"x",""),IF(AND(Agendamento!$C$3='Base de Dados'!A189,'Base de Dados'!E189=Agendamento!$C$7),"x",""))))</f>
        <v/>
      </c>
      <c r="I189" s="13" t="str">
        <f>IF(H189="x",COUNT($I$1:I188)+1,"")</f>
        <v/>
      </c>
    </row>
    <row r="190" spans="1:9" x14ac:dyDescent="0.25">
      <c r="A190" s="27"/>
      <c r="B190" s="28"/>
      <c r="C190" s="29"/>
      <c r="D190" s="29"/>
      <c r="E190" s="28"/>
      <c r="F190" s="13" t="str">
        <f>IF(A190="","",IF(A190=Agendamento!$C$3,"x",""))</f>
        <v/>
      </c>
      <c r="G190" s="13" t="str">
        <f>IF(A190="","",IF(E190=Agendamento!$C$7,"x",""))</f>
        <v/>
      </c>
      <c r="H190" s="13" t="str">
        <f>IF(A190="","",IF(AND(Agendamento!$C$3="",Agendamento!$C$7&lt;&gt;""),IF(Agendamento!$C$7='Base de Dados'!E190,"x",""),IF(AND(Agendamento!$C$3&lt;&gt;"",Agendamento!$C$7=""),IF(Agendamento!$C$3='Base de Dados'!A190,"x",""),IF(AND(Agendamento!$C$3='Base de Dados'!A190,'Base de Dados'!E190=Agendamento!$C$7),"x",""))))</f>
        <v/>
      </c>
      <c r="I190" s="13" t="str">
        <f>IF(H190="x",COUNT($I$1:I189)+1,"")</f>
        <v/>
      </c>
    </row>
    <row r="191" spans="1:9" x14ac:dyDescent="0.25">
      <c r="A191" s="27"/>
      <c r="B191" s="28"/>
      <c r="C191" s="29"/>
      <c r="D191" s="29"/>
      <c r="E191" s="28"/>
      <c r="F191" s="13" t="str">
        <f>IF(A191="","",IF(A191=Agendamento!$C$3,"x",""))</f>
        <v/>
      </c>
      <c r="G191" s="13" t="str">
        <f>IF(A191="","",IF(E191=Agendamento!$C$7,"x",""))</f>
        <v/>
      </c>
      <c r="H191" s="13" t="str">
        <f>IF(A191="","",IF(AND(Agendamento!$C$3="",Agendamento!$C$7&lt;&gt;""),IF(Agendamento!$C$7='Base de Dados'!E191,"x",""),IF(AND(Agendamento!$C$3&lt;&gt;"",Agendamento!$C$7=""),IF(Agendamento!$C$3='Base de Dados'!A191,"x",""),IF(AND(Agendamento!$C$3='Base de Dados'!A191,'Base de Dados'!E191=Agendamento!$C$7),"x",""))))</f>
        <v/>
      </c>
      <c r="I191" s="13" t="str">
        <f>IF(H191="x",COUNT($I$1:I190)+1,"")</f>
        <v/>
      </c>
    </row>
    <row r="192" spans="1:9" x14ac:dyDescent="0.25">
      <c r="A192" s="27"/>
      <c r="B192" s="28"/>
      <c r="C192" s="29"/>
      <c r="D192" s="29"/>
      <c r="E192" s="28"/>
      <c r="F192" s="13" t="str">
        <f>IF(A192="","",IF(A192=Agendamento!$C$3,"x",""))</f>
        <v/>
      </c>
      <c r="G192" s="13" t="str">
        <f>IF(A192="","",IF(E192=Agendamento!$C$7,"x",""))</f>
        <v/>
      </c>
      <c r="H192" s="13" t="str">
        <f>IF(A192="","",IF(AND(Agendamento!$C$3="",Agendamento!$C$7&lt;&gt;""),IF(Agendamento!$C$7='Base de Dados'!E192,"x",""),IF(AND(Agendamento!$C$3&lt;&gt;"",Agendamento!$C$7=""),IF(Agendamento!$C$3='Base de Dados'!A192,"x",""),IF(AND(Agendamento!$C$3='Base de Dados'!A192,'Base de Dados'!E192=Agendamento!$C$7),"x",""))))</f>
        <v/>
      </c>
      <c r="I192" s="13" t="str">
        <f>IF(H192="x",COUNT($I$1:I191)+1,"")</f>
        <v/>
      </c>
    </row>
    <row r="193" spans="1:9" x14ac:dyDescent="0.25">
      <c r="A193" s="27"/>
      <c r="B193" s="28"/>
      <c r="C193" s="29"/>
      <c r="D193" s="29"/>
      <c r="E193" s="28"/>
      <c r="F193" s="13" t="str">
        <f>IF(A193="","",IF(A193=Agendamento!$C$3,"x",""))</f>
        <v/>
      </c>
      <c r="G193" s="13" t="str">
        <f>IF(A193="","",IF(E193=Agendamento!$C$7,"x",""))</f>
        <v/>
      </c>
      <c r="H193" s="13" t="str">
        <f>IF(A193="","",IF(AND(Agendamento!$C$3="",Agendamento!$C$7&lt;&gt;""),IF(Agendamento!$C$7='Base de Dados'!E193,"x",""),IF(AND(Agendamento!$C$3&lt;&gt;"",Agendamento!$C$7=""),IF(Agendamento!$C$3='Base de Dados'!A193,"x",""),IF(AND(Agendamento!$C$3='Base de Dados'!A193,'Base de Dados'!E193=Agendamento!$C$7),"x",""))))</f>
        <v/>
      </c>
      <c r="I193" s="13" t="str">
        <f>IF(H193="x",COUNT($I$1:I192)+1,"")</f>
        <v/>
      </c>
    </row>
    <row r="194" spans="1:9" x14ac:dyDescent="0.25">
      <c r="A194" s="27"/>
      <c r="B194" s="28"/>
      <c r="C194" s="29"/>
      <c r="D194" s="29"/>
      <c r="E194" s="28"/>
      <c r="F194" s="13" t="str">
        <f>IF(A194="","",IF(A194=Agendamento!$C$3,"x",""))</f>
        <v/>
      </c>
      <c r="G194" s="13" t="str">
        <f>IF(A194="","",IF(E194=Agendamento!$C$7,"x",""))</f>
        <v/>
      </c>
      <c r="H194" s="13" t="str">
        <f>IF(A194="","",IF(AND(Agendamento!$C$3="",Agendamento!$C$7&lt;&gt;""),IF(Agendamento!$C$7='Base de Dados'!E194,"x",""),IF(AND(Agendamento!$C$3&lt;&gt;"",Agendamento!$C$7=""),IF(Agendamento!$C$3='Base de Dados'!A194,"x",""),IF(AND(Agendamento!$C$3='Base de Dados'!A194,'Base de Dados'!E194=Agendamento!$C$7),"x",""))))</f>
        <v/>
      </c>
      <c r="I194" s="13" t="str">
        <f>IF(H194="x",COUNT($I$1:I193)+1,"")</f>
        <v/>
      </c>
    </row>
    <row r="195" spans="1:9" x14ac:dyDescent="0.25">
      <c r="A195" s="27"/>
      <c r="B195" s="28"/>
      <c r="C195" s="29"/>
      <c r="D195" s="29"/>
      <c r="E195" s="28"/>
      <c r="F195" s="13" t="str">
        <f>IF(A195="","",IF(A195=Agendamento!$C$3,"x",""))</f>
        <v/>
      </c>
      <c r="G195" s="13" t="str">
        <f>IF(A195="","",IF(E195=Agendamento!$C$7,"x",""))</f>
        <v/>
      </c>
      <c r="H195" s="13" t="str">
        <f>IF(A195="","",IF(AND(Agendamento!$C$3="",Agendamento!$C$7&lt;&gt;""),IF(Agendamento!$C$7='Base de Dados'!E195,"x",""),IF(AND(Agendamento!$C$3&lt;&gt;"",Agendamento!$C$7=""),IF(Agendamento!$C$3='Base de Dados'!A195,"x",""),IF(AND(Agendamento!$C$3='Base de Dados'!A195,'Base de Dados'!E195=Agendamento!$C$7),"x",""))))</f>
        <v/>
      </c>
      <c r="I195" s="13" t="str">
        <f>IF(H195="x",COUNT($I$1:I194)+1,"")</f>
        <v/>
      </c>
    </row>
    <row r="196" spans="1:9" x14ac:dyDescent="0.25">
      <c r="A196" s="27"/>
      <c r="B196" s="28"/>
      <c r="C196" s="29"/>
      <c r="D196" s="29"/>
      <c r="E196" s="28"/>
      <c r="F196" s="13" t="str">
        <f>IF(A196="","",IF(A196=Agendamento!$C$3,"x",""))</f>
        <v/>
      </c>
      <c r="G196" s="13" t="str">
        <f>IF(A196="","",IF(E196=Agendamento!$C$7,"x",""))</f>
        <v/>
      </c>
      <c r="H196" s="13" t="str">
        <f>IF(A196="","",IF(AND(Agendamento!$C$3="",Agendamento!$C$7&lt;&gt;""),IF(Agendamento!$C$7='Base de Dados'!E196,"x",""),IF(AND(Agendamento!$C$3&lt;&gt;"",Agendamento!$C$7=""),IF(Agendamento!$C$3='Base de Dados'!A196,"x",""),IF(AND(Agendamento!$C$3='Base de Dados'!A196,'Base de Dados'!E196=Agendamento!$C$7),"x",""))))</f>
        <v/>
      </c>
      <c r="I196" s="13" t="str">
        <f>IF(H196="x",COUNT($I$1:I195)+1,"")</f>
        <v/>
      </c>
    </row>
    <row r="197" spans="1:9" x14ac:dyDescent="0.25">
      <c r="A197" s="27"/>
      <c r="B197" s="28"/>
      <c r="C197" s="29"/>
      <c r="D197" s="29"/>
      <c r="E197" s="28"/>
      <c r="F197" s="13" t="str">
        <f>IF(A197="","",IF(A197=Agendamento!$C$3,"x",""))</f>
        <v/>
      </c>
      <c r="G197" s="13" t="str">
        <f>IF(A197="","",IF(E197=Agendamento!$C$7,"x",""))</f>
        <v/>
      </c>
      <c r="H197" s="13" t="str">
        <f>IF(A197="","",IF(AND(Agendamento!$C$3="",Agendamento!$C$7&lt;&gt;""),IF(Agendamento!$C$7='Base de Dados'!E197,"x",""),IF(AND(Agendamento!$C$3&lt;&gt;"",Agendamento!$C$7=""),IF(Agendamento!$C$3='Base de Dados'!A197,"x",""),IF(AND(Agendamento!$C$3='Base de Dados'!A197,'Base de Dados'!E197=Agendamento!$C$7),"x",""))))</f>
        <v/>
      </c>
      <c r="I197" s="13" t="str">
        <f>IF(H197="x",COUNT($I$1:I196)+1,"")</f>
        <v/>
      </c>
    </row>
    <row r="198" spans="1:9" x14ac:dyDescent="0.25">
      <c r="A198" s="27"/>
      <c r="B198" s="28"/>
      <c r="C198" s="29"/>
      <c r="D198" s="29"/>
      <c r="E198" s="28"/>
      <c r="F198" s="13" t="str">
        <f>IF(A198="","",IF(A198=Agendamento!$C$3,"x",""))</f>
        <v/>
      </c>
      <c r="G198" s="13" t="str">
        <f>IF(A198="","",IF(E198=Agendamento!$C$7,"x",""))</f>
        <v/>
      </c>
      <c r="H198" s="13" t="str">
        <f>IF(A198="","",IF(AND(Agendamento!$C$3="",Agendamento!$C$7&lt;&gt;""),IF(Agendamento!$C$7='Base de Dados'!E198,"x",""),IF(AND(Agendamento!$C$3&lt;&gt;"",Agendamento!$C$7=""),IF(Agendamento!$C$3='Base de Dados'!A198,"x",""),IF(AND(Agendamento!$C$3='Base de Dados'!A198,'Base de Dados'!E198=Agendamento!$C$7),"x",""))))</f>
        <v/>
      </c>
      <c r="I198" s="13" t="str">
        <f>IF(H198="x",COUNT($I$1:I197)+1,"")</f>
        <v/>
      </c>
    </row>
    <row r="199" spans="1:9" x14ac:dyDescent="0.25">
      <c r="A199" s="27"/>
      <c r="B199" s="28"/>
      <c r="C199" s="29"/>
      <c r="D199" s="29"/>
      <c r="E199" s="28"/>
      <c r="F199" s="13" t="str">
        <f>IF(A199="","",IF(A199=Agendamento!$C$3,"x",""))</f>
        <v/>
      </c>
      <c r="G199" s="13" t="str">
        <f>IF(A199="","",IF(E199=Agendamento!$C$7,"x",""))</f>
        <v/>
      </c>
      <c r="H199" s="13" t="str">
        <f>IF(A199="","",IF(AND(Agendamento!$C$3="",Agendamento!$C$7&lt;&gt;""),IF(Agendamento!$C$7='Base de Dados'!E199,"x",""),IF(AND(Agendamento!$C$3&lt;&gt;"",Agendamento!$C$7=""),IF(Agendamento!$C$3='Base de Dados'!A199,"x",""),IF(AND(Agendamento!$C$3='Base de Dados'!A199,'Base de Dados'!E199=Agendamento!$C$7),"x",""))))</f>
        <v/>
      </c>
      <c r="I199" s="13" t="str">
        <f>IF(H199="x",COUNT($I$1:I198)+1,"")</f>
        <v/>
      </c>
    </row>
    <row r="200" spans="1:9" x14ac:dyDescent="0.25">
      <c r="A200" s="27"/>
      <c r="B200" s="28"/>
      <c r="C200" s="29"/>
      <c r="D200" s="29"/>
      <c r="E200" s="28"/>
      <c r="F200" s="13" t="str">
        <f>IF(A200="","",IF(A200=Agendamento!$C$3,"x",""))</f>
        <v/>
      </c>
      <c r="G200" s="13" t="str">
        <f>IF(A200="","",IF(E200=Agendamento!$C$7,"x",""))</f>
        <v/>
      </c>
      <c r="H200" s="13" t="str">
        <f>IF(A200="","",IF(AND(Agendamento!$C$3="",Agendamento!$C$7&lt;&gt;""),IF(Agendamento!$C$7='Base de Dados'!E200,"x",""),IF(AND(Agendamento!$C$3&lt;&gt;"",Agendamento!$C$7=""),IF(Agendamento!$C$3='Base de Dados'!A200,"x",""),IF(AND(Agendamento!$C$3='Base de Dados'!A200,'Base de Dados'!E200=Agendamento!$C$7),"x",""))))</f>
        <v/>
      </c>
      <c r="I200" s="13" t="str">
        <f>IF(H200="x",COUNT($I$1:I199)+1,"")</f>
        <v/>
      </c>
    </row>
    <row r="201" spans="1:9" x14ac:dyDescent="0.25">
      <c r="A201" s="27"/>
      <c r="B201" s="28"/>
      <c r="C201" s="29"/>
      <c r="D201" s="29"/>
      <c r="E201" s="28"/>
      <c r="F201" s="13" t="str">
        <f>IF(A201="","",IF(A201=Agendamento!$C$3,"x",""))</f>
        <v/>
      </c>
      <c r="G201" s="13" t="str">
        <f>IF(A201="","",IF(E201=Agendamento!$C$7,"x",""))</f>
        <v/>
      </c>
      <c r="H201" s="13" t="str">
        <f>IF(A201="","",IF(AND(Agendamento!$C$3="",Agendamento!$C$7&lt;&gt;""),IF(Agendamento!$C$7='Base de Dados'!E201,"x",""),IF(AND(Agendamento!$C$3&lt;&gt;"",Agendamento!$C$7=""),IF(Agendamento!$C$3='Base de Dados'!A201,"x",""),IF(AND(Agendamento!$C$3='Base de Dados'!A201,'Base de Dados'!E201=Agendamento!$C$7),"x",""))))</f>
        <v/>
      </c>
      <c r="I201" s="13" t="str">
        <f>IF(H201="x",COUNT($I$1:I200)+1,"")</f>
        <v/>
      </c>
    </row>
    <row r="202" spans="1:9" x14ac:dyDescent="0.25">
      <c r="A202" s="27"/>
      <c r="B202" s="28"/>
      <c r="C202" s="29"/>
      <c r="D202" s="29"/>
      <c r="E202" s="28"/>
      <c r="F202" s="13" t="str">
        <f>IF(A202="","",IF(A202=Agendamento!$C$3,"x",""))</f>
        <v/>
      </c>
      <c r="G202" s="13" t="str">
        <f>IF(A202="","",IF(E202=Agendamento!$C$7,"x",""))</f>
        <v/>
      </c>
      <c r="H202" s="13" t="str">
        <f>IF(A202="","",IF(AND(Agendamento!$C$3="",Agendamento!$C$7&lt;&gt;""),IF(Agendamento!$C$7='Base de Dados'!E202,"x",""),IF(AND(Agendamento!$C$3&lt;&gt;"",Agendamento!$C$7=""),IF(Agendamento!$C$3='Base de Dados'!A202,"x",""),IF(AND(Agendamento!$C$3='Base de Dados'!A202,'Base de Dados'!E202=Agendamento!$C$7),"x",""))))</f>
        <v/>
      </c>
      <c r="I202" s="13" t="str">
        <f>IF(H202="x",COUNT($I$1:I201)+1,"")</f>
        <v/>
      </c>
    </row>
    <row r="203" spans="1:9" x14ac:dyDescent="0.25">
      <c r="A203" s="27"/>
      <c r="B203" s="28"/>
      <c r="C203" s="29"/>
      <c r="D203" s="29"/>
      <c r="E203" s="28"/>
      <c r="F203" s="13" t="str">
        <f>IF(A203="","",IF(A203=Agendamento!$C$3,"x",""))</f>
        <v/>
      </c>
      <c r="G203" s="13" t="str">
        <f>IF(A203="","",IF(E203=Agendamento!$C$7,"x",""))</f>
        <v/>
      </c>
      <c r="H203" s="13" t="str">
        <f>IF(A203="","",IF(AND(Agendamento!$C$3="",Agendamento!$C$7&lt;&gt;""),IF(Agendamento!$C$7='Base de Dados'!E203,"x",""),IF(AND(Agendamento!$C$3&lt;&gt;"",Agendamento!$C$7=""),IF(Agendamento!$C$3='Base de Dados'!A203,"x",""),IF(AND(Agendamento!$C$3='Base de Dados'!A203,'Base de Dados'!E203=Agendamento!$C$7),"x",""))))</f>
        <v/>
      </c>
      <c r="I203" s="13" t="str">
        <f>IF(H203="x",COUNT($I$1:I202)+1,"")</f>
        <v/>
      </c>
    </row>
    <row r="204" spans="1:9" x14ac:dyDescent="0.25">
      <c r="A204" s="27"/>
      <c r="B204" s="28"/>
      <c r="C204" s="29"/>
      <c r="D204" s="29"/>
      <c r="E204" s="28"/>
      <c r="F204" s="13" t="str">
        <f>IF(A204="","",IF(A204=Agendamento!$C$3,"x",""))</f>
        <v/>
      </c>
      <c r="G204" s="13" t="str">
        <f>IF(A204="","",IF(E204=Agendamento!$C$7,"x",""))</f>
        <v/>
      </c>
      <c r="H204" s="13" t="str">
        <f>IF(A204="","",IF(AND(Agendamento!$C$3="",Agendamento!$C$7&lt;&gt;""),IF(Agendamento!$C$7='Base de Dados'!E204,"x",""),IF(AND(Agendamento!$C$3&lt;&gt;"",Agendamento!$C$7=""),IF(Agendamento!$C$3='Base de Dados'!A204,"x",""),IF(AND(Agendamento!$C$3='Base de Dados'!A204,'Base de Dados'!E204=Agendamento!$C$7),"x",""))))</f>
        <v/>
      </c>
      <c r="I204" s="13" t="str">
        <f>IF(H204="x",COUNT($I$1:I203)+1,"")</f>
        <v/>
      </c>
    </row>
    <row r="205" spans="1:9" x14ac:dyDescent="0.25">
      <c r="A205" s="27"/>
      <c r="B205" s="28"/>
      <c r="C205" s="29"/>
      <c r="D205" s="29"/>
      <c r="E205" s="28"/>
      <c r="F205" s="13" t="str">
        <f>IF(A205="","",IF(A205=Agendamento!$C$3,"x",""))</f>
        <v/>
      </c>
      <c r="G205" s="13" t="str">
        <f>IF(A205="","",IF(E205=Agendamento!$C$7,"x",""))</f>
        <v/>
      </c>
      <c r="H205" s="13" t="str">
        <f>IF(A205="","",IF(AND(Agendamento!$C$3="",Agendamento!$C$7&lt;&gt;""),IF(Agendamento!$C$7='Base de Dados'!E205,"x",""),IF(AND(Agendamento!$C$3&lt;&gt;"",Agendamento!$C$7=""),IF(Agendamento!$C$3='Base de Dados'!A205,"x",""),IF(AND(Agendamento!$C$3='Base de Dados'!A205,'Base de Dados'!E205=Agendamento!$C$7),"x",""))))</f>
        <v/>
      </c>
      <c r="I205" s="13" t="str">
        <f>IF(H205="x",COUNT($I$1:I204)+1,"")</f>
        <v/>
      </c>
    </row>
    <row r="206" spans="1:9" x14ac:dyDescent="0.25">
      <c r="A206" s="27"/>
      <c r="B206" s="28"/>
      <c r="C206" s="29"/>
      <c r="D206" s="29"/>
      <c r="E206" s="28"/>
      <c r="F206" s="13" t="str">
        <f>IF(A206="","",IF(A206=Agendamento!$C$3,"x",""))</f>
        <v/>
      </c>
      <c r="G206" s="13" t="str">
        <f>IF(A206="","",IF(E206=Agendamento!$C$7,"x",""))</f>
        <v/>
      </c>
      <c r="H206" s="13" t="str">
        <f>IF(A206="","",IF(AND(Agendamento!$C$3="",Agendamento!$C$7&lt;&gt;""),IF(Agendamento!$C$7='Base de Dados'!E206,"x",""),IF(AND(Agendamento!$C$3&lt;&gt;"",Agendamento!$C$7=""),IF(Agendamento!$C$3='Base de Dados'!A206,"x",""),IF(AND(Agendamento!$C$3='Base de Dados'!A206,'Base de Dados'!E206=Agendamento!$C$7),"x",""))))</f>
        <v/>
      </c>
      <c r="I206" s="13" t="str">
        <f>IF(H206="x",COUNT($I$1:I205)+1,"")</f>
        <v/>
      </c>
    </row>
    <row r="207" spans="1:9" x14ac:dyDescent="0.25">
      <c r="A207" s="27"/>
      <c r="B207" s="28"/>
      <c r="C207" s="29"/>
      <c r="D207" s="29"/>
      <c r="E207" s="28"/>
      <c r="F207" s="13" t="str">
        <f>IF(A207="","",IF(A207=Agendamento!$C$3,"x",""))</f>
        <v/>
      </c>
      <c r="G207" s="13" t="str">
        <f>IF(A207="","",IF(E207=Agendamento!$C$7,"x",""))</f>
        <v/>
      </c>
      <c r="H207" s="13" t="str">
        <f>IF(A207="","",IF(AND(Agendamento!$C$3="",Agendamento!$C$7&lt;&gt;""),IF(Agendamento!$C$7='Base de Dados'!E207,"x",""),IF(AND(Agendamento!$C$3&lt;&gt;"",Agendamento!$C$7=""),IF(Agendamento!$C$3='Base de Dados'!A207,"x",""),IF(AND(Agendamento!$C$3='Base de Dados'!A207,'Base de Dados'!E207=Agendamento!$C$7),"x",""))))</f>
        <v/>
      </c>
      <c r="I207" s="13" t="str">
        <f>IF(H207="x",COUNT($I$1:I206)+1,"")</f>
        <v/>
      </c>
    </row>
    <row r="208" spans="1:9" x14ac:dyDescent="0.25">
      <c r="A208" s="27"/>
      <c r="B208" s="28"/>
      <c r="C208" s="29"/>
      <c r="D208" s="29"/>
      <c r="E208" s="28"/>
      <c r="F208" s="13" t="str">
        <f>IF(A208="","",IF(A208=Agendamento!$C$3,"x",""))</f>
        <v/>
      </c>
      <c r="G208" s="13" t="str">
        <f>IF(A208="","",IF(E208=Agendamento!$C$7,"x",""))</f>
        <v/>
      </c>
      <c r="H208" s="13" t="str">
        <f>IF(A208="","",IF(AND(Agendamento!$C$3="",Agendamento!$C$7&lt;&gt;""),IF(Agendamento!$C$7='Base de Dados'!E208,"x",""),IF(AND(Agendamento!$C$3&lt;&gt;"",Agendamento!$C$7=""),IF(Agendamento!$C$3='Base de Dados'!A208,"x",""),IF(AND(Agendamento!$C$3='Base de Dados'!A208,'Base de Dados'!E208=Agendamento!$C$7),"x",""))))</f>
        <v/>
      </c>
      <c r="I208" s="13" t="str">
        <f>IF(H208="x",COUNT($I$1:I207)+1,"")</f>
        <v/>
      </c>
    </row>
    <row r="209" spans="1:9" x14ac:dyDescent="0.25">
      <c r="A209" s="27"/>
      <c r="B209" s="28"/>
      <c r="C209" s="29"/>
      <c r="D209" s="29"/>
      <c r="E209" s="28"/>
      <c r="F209" s="13" t="str">
        <f>IF(A209="","",IF(A209=Agendamento!$C$3,"x",""))</f>
        <v/>
      </c>
      <c r="G209" s="13" t="str">
        <f>IF(A209="","",IF(E209=Agendamento!$C$7,"x",""))</f>
        <v/>
      </c>
      <c r="H209" s="13" t="str">
        <f>IF(A209="","",IF(AND(Agendamento!$C$3="",Agendamento!$C$7&lt;&gt;""),IF(Agendamento!$C$7='Base de Dados'!E209,"x",""),IF(AND(Agendamento!$C$3&lt;&gt;"",Agendamento!$C$7=""),IF(Agendamento!$C$3='Base de Dados'!A209,"x",""),IF(AND(Agendamento!$C$3='Base de Dados'!A209,'Base de Dados'!E209=Agendamento!$C$7),"x",""))))</f>
        <v/>
      </c>
      <c r="I209" s="13" t="str">
        <f>IF(H209="x",COUNT($I$1:I208)+1,"")</f>
        <v/>
      </c>
    </row>
    <row r="210" spans="1:9" x14ac:dyDescent="0.25">
      <c r="A210" s="27"/>
      <c r="B210" s="28"/>
      <c r="C210" s="29"/>
      <c r="D210" s="29"/>
      <c r="E210" s="28"/>
      <c r="F210" s="13" t="str">
        <f>IF(A210="","",IF(A210=Agendamento!$C$3,"x",""))</f>
        <v/>
      </c>
      <c r="G210" s="13" t="str">
        <f>IF(A210="","",IF(E210=Agendamento!$C$7,"x",""))</f>
        <v/>
      </c>
      <c r="H210" s="13" t="str">
        <f>IF(A210="","",IF(AND(Agendamento!$C$3="",Agendamento!$C$7&lt;&gt;""),IF(Agendamento!$C$7='Base de Dados'!E210,"x",""),IF(AND(Agendamento!$C$3&lt;&gt;"",Agendamento!$C$7=""),IF(Agendamento!$C$3='Base de Dados'!A210,"x",""),IF(AND(Agendamento!$C$3='Base de Dados'!A210,'Base de Dados'!E210=Agendamento!$C$7),"x",""))))</f>
        <v/>
      </c>
      <c r="I210" s="13" t="str">
        <f>IF(H210="x",COUNT($I$1:I209)+1,"")</f>
        <v/>
      </c>
    </row>
    <row r="211" spans="1:9" x14ac:dyDescent="0.25">
      <c r="A211" s="27"/>
      <c r="B211" s="28"/>
      <c r="C211" s="29"/>
      <c r="D211" s="29"/>
      <c r="E211" s="28"/>
      <c r="F211" s="13" t="str">
        <f>IF(A211="","",IF(A211=Agendamento!$C$3,"x",""))</f>
        <v/>
      </c>
      <c r="G211" s="13" t="str">
        <f>IF(A211="","",IF(E211=Agendamento!$C$7,"x",""))</f>
        <v/>
      </c>
      <c r="H211" s="13" t="str">
        <f>IF(A211="","",IF(AND(Agendamento!$C$3="",Agendamento!$C$7&lt;&gt;""),IF(Agendamento!$C$7='Base de Dados'!E211,"x",""),IF(AND(Agendamento!$C$3&lt;&gt;"",Agendamento!$C$7=""),IF(Agendamento!$C$3='Base de Dados'!A211,"x",""),IF(AND(Agendamento!$C$3='Base de Dados'!A211,'Base de Dados'!E211=Agendamento!$C$7),"x",""))))</f>
        <v/>
      </c>
      <c r="I211" s="13" t="str">
        <f>IF(H211="x",COUNT($I$1:I210)+1,"")</f>
        <v/>
      </c>
    </row>
    <row r="212" spans="1:9" x14ac:dyDescent="0.25">
      <c r="A212" s="27"/>
      <c r="B212" s="28"/>
      <c r="C212" s="29"/>
      <c r="D212" s="29"/>
      <c r="E212" s="28"/>
      <c r="F212" s="13" t="str">
        <f>IF(A212="","",IF(A212=Agendamento!$C$3,"x",""))</f>
        <v/>
      </c>
      <c r="G212" s="13" t="str">
        <f>IF(A212="","",IF(E212=Agendamento!$C$7,"x",""))</f>
        <v/>
      </c>
      <c r="H212" s="13" t="str">
        <f>IF(A212="","",IF(AND(Agendamento!$C$3="",Agendamento!$C$7&lt;&gt;""),IF(Agendamento!$C$7='Base de Dados'!E212,"x",""),IF(AND(Agendamento!$C$3&lt;&gt;"",Agendamento!$C$7=""),IF(Agendamento!$C$3='Base de Dados'!A212,"x",""),IF(AND(Agendamento!$C$3='Base de Dados'!A212,'Base de Dados'!E212=Agendamento!$C$7),"x",""))))</f>
        <v/>
      </c>
      <c r="I212" s="13" t="str">
        <f>IF(H212="x",COUNT($I$1:I211)+1,"")</f>
        <v/>
      </c>
    </row>
    <row r="213" spans="1:9" x14ac:dyDescent="0.25">
      <c r="A213" s="27"/>
      <c r="B213" s="28"/>
      <c r="C213" s="29"/>
      <c r="D213" s="29"/>
      <c r="E213" s="28"/>
      <c r="F213" s="13" t="str">
        <f>IF(A213="","",IF(A213=Agendamento!$C$3,"x",""))</f>
        <v/>
      </c>
      <c r="G213" s="13" t="str">
        <f>IF(A213="","",IF(E213=Agendamento!$C$7,"x",""))</f>
        <v/>
      </c>
      <c r="H213" s="13" t="str">
        <f>IF(A213="","",IF(AND(Agendamento!$C$3="",Agendamento!$C$7&lt;&gt;""),IF(Agendamento!$C$7='Base de Dados'!E213,"x",""),IF(AND(Agendamento!$C$3&lt;&gt;"",Agendamento!$C$7=""),IF(Agendamento!$C$3='Base de Dados'!A213,"x",""),IF(AND(Agendamento!$C$3='Base de Dados'!A213,'Base de Dados'!E213=Agendamento!$C$7),"x",""))))</f>
        <v/>
      </c>
      <c r="I213" s="13" t="str">
        <f>IF(H213="x",COUNT($I$1:I212)+1,"")</f>
        <v/>
      </c>
    </row>
    <row r="214" spans="1:9" x14ac:dyDescent="0.25">
      <c r="A214" s="27"/>
      <c r="B214" s="28"/>
      <c r="C214" s="29"/>
      <c r="D214" s="29"/>
      <c r="E214" s="28"/>
      <c r="F214" s="13" t="str">
        <f>IF(A214="","",IF(A214=Agendamento!$C$3,"x",""))</f>
        <v/>
      </c>
      <c r="G214" s="13" t="str">
        <f>IF(A214="","",IF(E214=Agendamento!$C$7,"x",""))</f>
        <v/>
      </c>
      <c r="H214" s="13" t="str">
        <f>IF(A214="","",IF(AND(Agendamento!$C$3="",Agendamento!$C$7&lt;&gt;""),IF(Agendamento!$C$7='Base de Dados'!E214,"x",""),IF(AND(Agendamento!$C$3&lt;&gt;"",Agendamento!$C$7=""),IF(Agendamento!$C$3='Base de Dados'!A214,"x",""),IF(AND(Agendamento!$C$3='Base de Dados'!A214,'Base de Dados'!E214=Agendamento!$C$7),"x",""))))</f>
        <v/>
      </c>
      <c r="I214" s="13" t="str">
        <f>IF(H214="x",COUNT($I$1:I213)+1,"")</f>
        <v/>
      </c>
    </row>
    <row r="215" spans="1:9" x14ac:dyDescent="0.25">
      <c r="A215" s="27"/>
      <c r="B215" s="28"/>
      <c r="C215" s="29"/>
      <c r="D215" s="29"/>
      <c r="E215" s="28"/>
      <c r="F215" s="13" t="str">
        <f>IF(A215="","",IF(A215=Agendamento!$C$3,"x",""))</f>
        <v/>
      </c>
      <c r="G215" s="13" t="str">
        <f>IF(A215="","",IF(E215=Agendamento!$C$7,"x",""))</f>
        <v/>
      </c>
      <c r="H215" s="13" t="str">
        <f>IF(A215="","",IF(AND(Agendamento!$C$3="",Agendamento!$C$7&lt;&gt;""),IF(Agendamento!$C$7='Base de Dados'!E215,"x",""),IF(AND(Agendamento!$C$3&lt;&gt;"",Agendamento!$C$7=""),IF(Agendamento!$C$3='Base de Dados'!A215,"x",""),IF(AND(Agendamento!$C$3='Base de Dados'!A215,'Base de Dados'!E215=Agendamento!$C$7),"x",""))))</f>
        <v/>
      </c>
      <c r="I215" s="13" t="str">
        <f>IF(H215="x",COUNT($I$1:I214)+1,"")</f>
        <v/>
      </c>
    </row>
    <row r="216" spans="1:9" x14ac:dyDescent="0.25">
      <c r="A216" s="27"/>
      <c r="B216" s="28"/>
      <c r="C216" s="29"/>
      <c r="D216" s="29"/>
      <c r="E216" s="28"/>
      <c r="F216" s="13" t="str">
        <f>IF(A216="","",IF(A216=Agendamento!$C$3,"x",""))</f>
        <v/>
      </c>
      <c r="G216" s="13" t="str">
        <f>IF(A216="","",IF(E216=Agendamento!$C$7,"x",""))</f>
        <v/>
      </c>
      <c r="H216" s="13" t="str">
        <f>IF(A216="","",IF(AND(Agendamento!$C$3="",Agendamento!$C$7&lt;&gt;""),IF(Agendamento!$C$7='Base de Dados'!E216,"x",""),IF(AND(Agendamento!$C$3&lt;&gt;"",Agendamento!$C$7=""),IF(Agendamento!$C$3='Base de Dados'!A216,"x",""),IF(AND(Agendamento!$C$3='Base de Dados'!A216,'Base de Dados'!E216=Agendamento!$C$7),"x",""))))</f>
        <v/>
      </c>
      <c r="I216" s="13" t="str">
        <f>IF(H216="x",COUNT($I$1:I215)+1,"")</f>
        <v/>
      </c>
    </row>
    <row r="217" spans="1:9" x14ac:dyDescent="0.25">
      <c r="A217" s="27"/>
      <c r="B217" s="28"/>
      <c r="C217" s="29"/>
      <c r="D217" s="29"/>
      <c r="E217" s="28"/>
      <c r="F217" s="13" t="str">
        <f>IF(A217="","",IF(A217=Agendamento!$C$3,"x",""))</f>
        <v/>
      </c>
      <c r="G217" s="13" t="str">
        <f>IF(A217="","",IF(E217=Agendamento!$C$7,"x",""))</f>
        <v/>
      </c>
      <c r="H217" s="13" t="str">
        <f>IF(A217="","",IF(AND(Agendamento!$C$3="",Agendamento!$C$7&lt;&gt;""),IF(Agendamento!$C$7='Base de Dados'!E217,"x",""),IF(AND(Agendamento!$C$3&lt;&gt;"",Agendamento!$C$7=""),IF(Agendamento!$C$3='Base de Dados'!A217,"x",""),IF(AND(Agendamento!$C$3='Base de Dados'!A217,'Base de Dados'!E217=Agendamento!$C$7),"x",""))))</f>
        <v/>
      </c>
      <c r="I217" s="13" t="str">
        <f>IF(H217="x",COUNT($I$1:I216)+1,"")</f>
        <v/>
      </c>
    </row>
    <row r="218" spans="1:9" x14ac:dyDescent="0.25">
      <c r="A218" s="27"/>
      <c r="B218" s="28"/>
      <c r="C218" s="29"/>
      <c r="D218" s="29"/>
      <c r="E218" s="28"/>
      <c r="F218" s="13" t="str">
        <f>IF(A218="","",IF(A218=Agendamento!$C$3,"x",""))</f>
        <v/>
      </c>
      <c r="G218" s="13" t="str">
        <f>IF(A218="","",IF(E218=Agendamento!$C$7,"x",""))</f>
        <v/>
      </c>
      <c r="H218" s="13" t="str">
        <f>IF(A218="","",IF(AND(Agendamento!$C$3="",Agendamento!$C$7&lt;&gt;""),IF(Agendamento!$C$7='Base de Dados'!E218,"x",""),IF(AND(Agendamento!$C$3&lt;&gt;"",Agendamento!$C$7=""),IF(Agendamento!$C$3='Base de Dados'!A218,"x",""),IF(AND(Agendamento!$C$3='Base de Dados'!A218,'Base de Dados'!E218=Agendamento!$C$7),"x",""))))</f>
        <v/>
      </c>
      <c r="I218" s="13" t="str">
        <f>IF(H218="x",COUNT($I$1:I217)+1,"")</f>
        <v/>
      </c>
    </row>
    <row r="219" spans="1:9" x14ac:dyDescent="0.25">
      <c r="A219" s="27"/>
      <c r="B219" s="28"/>
      <c r="C219" s="29"/>
      <c r="D219" s="29"/>
      <c r="E219" s="28"/>
      <c r="F219" s="13" t="str">
        <f>IF(A219="","",IF(A219=Agendamento!$C$3,"x",""))</f>
        <v/>
      </c>
      <c r="G219" s="13" t="str">
        <f>IF(A219="","",IF(E219=Agendamento!$C$7,"x",""))</f>
        <v/>
      </c>
      <c r="H219" s="13" t="str">
        <f>IF(A219="","",IF(AND(Agendamento!$C$3="",Agendamento!$C$7&lt;&gt;""),IF(Agendamento!$C$7='Base de Dados'!E219,"x",""),IF(AND(Agendamento!$C$3&lt;&gt;"",Agendamento!$C$7=""),IF(Agendamento!$C$3='Base de Dados'!A219,"x",""),IF(AND(Agendamento!$C$3='Base de Dados'!A219,'Base de Dados'!E219=Agendamento!$C$7),"x",""))))</f>
        <v/>
      </c>
      <c r="I219" s="13" t="str">
        <f>IF(H219="x",COUNT($I$1:I218)+1,"")</f>
        <v/>
      </c>
    </row>
    <row r="220" spans="1:9" x14ac:dyDescent="0.25">
      <c r="A220" s="27"/>
      <c r="B220" s="28"/>
      <c r="C220" s="29"/>
      <c r="D220" s="29"/>
      <c r="E220" s="28"/>
      <c r="F220" s="13" t="str">
        <f>IF(A220="","",IF(A220=Agendamento!$C$3,"x",""))</f>
        <v/>
      </c>
      <c r="G220" s="13" t="str">
        <f>IF(A220="","",IF(E220=Agendamento!$C$7,"x",""))</f>
        <v/>
      </c>
      <c r="H220" s="13" t="str">
        <f>IF(A220="","",IF(AND(Agendamento!$C$3="",Agendamento!$C$7&lt;&gt;""),IF(Agendamento!$C$7='Base de Dados'!E220,"x",""),IF(AND(Agendamento!$C$3&lt;&gt;"",Agendamento!$C$7=""),IF(Agendamento!$C$3='Base de Dados'!A220,"x",""),IF(AND(Agendamento!$C$3='Base de Dados'!A220,'Base de Dados'!E220=Agendamento!$C$7),"x",""))))</f>
        <v/>
      </c>
      <c r="I220" s="13" t="str">
        <f>IF(H220="x",COUNT($I$1:I219)+1,"")</f>
        <v/>
      </c>
    </row>
    <row r="221" spans="1:9" x14ac:dyDescent="0.25">
      <c r="A221" s="27"/>
      <c r="B221" s="28"/>
      <c r="C221" s="29"/>
      <c r="D221" s="29"/>
      <c r="E221" s="28"/>
      <c r="F221" s="13" t="str">
        <f>IF(A221="","",IF(A221=Agendamento!$C$3,"x",""))</f>
        <v/>
      </c>
      <c r="G221" s="13" t="str">
        <f>IF(A221="","",IF(E221=Agendamento!$C$7,"x",""))</f>
        <v/>
      </c>
      <c r="H221" s="13" t="str">
        <f>IF(A221="","",IF(AND(Agendamento!$C$3="",Agendamento!$C$7&lt;&gt;""),IF(Agendamento!$C$7='Base de Dados'!E221,"x",""),IF(AND(Agendamento!$C$3&lt;&gt;"",Agendamento!$C$7=""),IF(Agendamento!$C$3='Base de Dados'!A221,"x",""),IF(AND(Agendamento!$C$3='Base de Dados'!A221,'Base de Dados'!E221=Agendamento!$C$7),"x",""))))</f>
        <v/>
      </c>
      <c r="I221" s="13" t="str">
        <f>IF(H221="x",COUNT($I$1:I220)+1,"")</f>
        <v/>
      </c>
    </row>
    <row r="222" spans="1:9" x14ac:dyDescent="0.25">
      <c r="A222" s="27"/>
      <c r="B222" s="28"/>
      <c r="C222" s="29"/>
      <c r="D222" s="29"/>
      <c r="E222" s="28"/>
      <c r="F222" s="13" t="str">
        <f>IF(A222="","",IF(A222=Agendamento!$C$3,"x",""))</f>
        <v/>
      </c>
      <c r="G222" s="13" t="str">
        <f>IF(A222="","",IF(E222=Agendamento!$C$7,"x",""))</f>
        <v/>
      </c>
      <c r="H222" s="13" t="str">
        <f>IF(A222="","",IF(AND(Agendamento!$C$3="",Agendamento!$C$7&lt;&gt;""),IF(Agendamento!$C$7='Base de Dados'!E222,"x",""),IF(AND(Agendamento!$C$3&lt;&gt;"",Agendamento!$C$7=""),IF(Agendamento!$C$3='Base de Dados'!A222,"x",""),IF(AND(Agendamento!$C$3='Base de Dados'!A222,'Base de Dados'!E222=Agendamento!$C$7),"x",""))))</f>
        <v/>
      </c>
      <c r="I222" s="13" t="str">
        <f>IF(H222="x",COUNT($I$1:I221)+1,"")</f>
        <v/>
      </c>
    </row>
    <row r="223" spans="1:9" x14ac:dyDescent="0.25">
      <c r="A223" s="27"/>
      <c r="B223" s="28"/>
      <c r="C223" s="29"/>
      <c r="D223" s="29"/>
      <c r="E223" s="28"/>
      <c r="F223" s="13" t="str">
        <f>IF(A223="","",IF(A223=Agendamento!$C$3,"x",""))</f>
        <v/>
      </c>
      <c r="G223" s="13" t="str">
        <f>IF(A223="","",IF(E223=Agendamento!$C$7,"x",""))</f>
        <v/>
      </c>
      <c r="H223" s="13" t="str">
        <f>IF(A223="","",IF(AND(Agendamento!$C$3="",Agendamento!$C$7&lt;&gt;""),IF(Agendamento!$C$7='Base de Dados'!E223,"x",""),IF(AND(Agendamento!$C$3&lt;&gt;"",Agendamento!$C$7=""),IF(Agendamento!$C$3='Base de Dados'!A223,"x",""),IF(AND(Agendamento!$C$3='Base de Dados'!A223,'Base de Dados'!E223=Agendamento!$C$7),"x",""))))</f>
        <v/>
      </c>
      <c r="I223" s="13" t="str">
        <f>IF(H223="x",COUNT($I$1:I222)+1,"")</f>
        <v/>
      </c>
    </row>
    <row r="224" spans="1:9" x14ac:dyDescent="0.25">
      <c r="A224" s="27"/>
      <c r="B224" s="28"/>
      <c r="C224" s="29"/>
      <c r="D224" s="29"/>
      <c r="E224" s="28"/>
      <c r="F224" s="13" t="str">
        <f>IF(A224="","",IF(A224=Agendamento!$C$3,"x",""))</f>
        <v/>
      </c>
      <c r="G224" s="13" t="str">
        <f>IF(A224="","",IF(E224=Agendamento!$C$7,"x",""))</f>
        <v/>
      </c>
      <c r="H224" s="13" t="str">
        <f>IF(A224="","",IF(AND(Agendamento!$C$3="",Agendamento!$C$7&lt;&gt;""),IF(Agendamento!$C$7='Base de Dados'!E224,"x",""),IF(AND(Agendamento!$C$3&lt;&gt;"",Agendamento!$C$7=""),IF(Agendamento!$C$3='Base de Dados'!A224,"x",""),IF(AND(Agendamento!$C$3='Base de Dados'!A224,'Base de Dados'!E224=Agendamento!$C$7),"x",""))))</f>
        <v/>
      </c>
      <c r="I224" s="13" t="str">
        <f>IF(H224="x",COUNT($I$1:I223)+1,"")</f>
        <v/>
      </c>
    </row>
    <row r="225" spans="1:9" x14ac:dyDescent="0.25">
      <c r="A225" s="27"/>
      <c r="B225" s="28"/>
      <c r="C225" s="29"/>
      <c r="D225" s="29"/>
      <c r="E225" s="28"/>
      <c r="F225" s="13" t="str">
        <f>IF(A225="","",IF(A225=Agendamento!$C$3,"x",""))</f>
        <v/>
      </c>
      <c r="G225" s="13" t="str">
        <f>IF(A225="","",IF(E225=Agendamento!$C$7,"x",""))</f>
        <v/>
      </c>
      <c r="H225" s="13" t="str">
        <f>IF(A225="","",IF(AND(Agendamento!$C$3="",Agendamento!$C$7&lt;&gt;""),IF(Agendamento!$C$7='Base de Dados'!E225,"x",""),IF(AND(Agendamento!$C$3&lt;&gt;"",Agendamento!$C$7=""),IF(Agendamento!$C$3='Base de Dados'!A225,"x",""),IF(AND(Agendamento!$C$3='Base de Dados'!A225,'Base de Dados'!E225=Agendamento!$C$7),"x",""))))</f>
        <v/>
      </c>
      <c r="I225" s="13" t="str">
        <f>IF(H225="x",COUNT($I$1:I224)+1,"")</f>
        <v/>
      </c>
    </row>
    <row r="226" spans="1:9" x14ac:dyDescent="0.25">
      <c r="A226" s="27"/>
      <c r="B226" s="28"/>
      <c r="C226" s="29"/>
      <c r="D226" s="29"/>
      <c r="E226" s="28"/>
      <c r="F226" s="13" t="str">
        <f>IF(A226="","",IF(A226=Agendamento!$C$3,"x",""))</f>
        <v/>
      </c>
      <c r="G226" s="13" t="str">
        <f>IF(A226="","",IF(E226=Agendamento!$C$7,"x",""))</f>
        <v/>
      </c>
      <c r="H226" s="13" t="str">
        <f>IF(A226="","",IF(AND(Agendamento!$C$3="",Agendamento!$C$7&lt;&gt;""),IF(Agendamento!$C$7='Base de Dados'!E226,"x",""),IF(AND(Agendamento!$C$3&lt;&gt;"",Agendamento!$C$7=""),IF(Agendamento!$C$3='Base de Dados'!A226,"x",""),IF(AND(Agendamento!$C$3='Base de Dados'!A226,'Base de Dados'!E226=Agendamento!$C$7),"x",""))))</f>
        <v/>
      </c>
      <c r="I226" s="13" t="str">
        <f>IF(H226="x",COUNT($I$1:I225)+1,"")</f>
        <v/>
      </c>
    </row>
    <row r="227" spans="1:9" x14ac:dyDescent="0.25">
      <c r="A227" s="27"/>
      <c r="B227" s="28"/>
      <c r="C227" s="29"/>
      <c r="D227" s="29"/>
      <c r="E227" s="28"/>
      <c r="F227" s="13" t="str">
        <f>IF(A227="","",IF(A227=Agendamento!$C$3,"x",""))</f>
        <v/>
      </c>
      <c r="G227" s="13" t="str">
        <f>IF(A227="","",IF(E227=Agendamento!$C$7,"x",""))</f>
        <v/>
      </c>
      <c r="H227" s="13" t="str">
        <f>IF(A227="","",IF(AND(Agendamento!$C$3="",Agendamento!$C$7&lt;&gt;""),IF(Agendamento!$C$7='Base de Dados'!E227,"x",""),IF(AND(Agendamento!$C$3&lt;&gt;"",Agendamento!$C$7=""),IF(Agendamento!$C$3='Base de Dados'!A227,"x",""),IF(AND(Agendamento!$C$3='Base de Dados'!A227,'Base de Dados'!E227=Agendamento!$C$7),"x",""))))</f>
        <v/>
      </c>
      <c r="I227" s="13" t="str">
        <f>IF(H227="x",COUNT($I$1:I226)+1,"")</f>
        <v/>
      </c>
    </row>
    <row r="228" spans="1:9" x14ac:dyDescent="0.25">
      <c r="A228" s="27"/>
      <c r="B228" s="28"/>
      <c r="C228" s="29"/>
      <c r="D228" s="29"/>
      <c r="E228" s="28"/>
      <c r="F228" s="13" t="str">
        <f>IF(A228="","",IF(A228=Agendamento!$C$3,"x",""))</f>
        <v/>
      </c>
      <c r="G228" s="13" t="str">
        <f>IF(A228="","",IF(E228=Agendamento!$C$7,"x",""))</f>
        <v/>
      </c>
      <c r="H228" s="13" t="str">
        <f>IF(A228="","",IF(AND(Agendamento!$C$3="",Agendamento!$C$7&lt;&gt;""),IF(Agendamento!$C$7='Base de Dados'!E228,"x",""),IF(AND(Agendamento!$C$3&lt;&gt;"",Agendamento!$C$7=""),IF(Agendamento!$C$3='Base de Dados'!A228,"x",""),IF(AND(Agendamento!$C$3='Base de Dados'!A228,'Base de Dados'!E228=Agendamento!$C$7),"x",""))))</f>
        <v/>
      </c>
      <c r="I228" s="13" t="str">
        <f>IF(H228="x",COUNT($I$1:I227)+1,"")</f>
        <v/>
      </c>
    </row>
    <row r="229" spans="1:9" x14ac:dyDescent="0.25">
      <c r="A229" s="27"/>
      <c r="B229" s="28"/>
      <c r="C229" s="29"/>
      <c r="D229" s="29"/>
      <c r="E229" s="28"/>
      <c r="F229" s="13" t="str">
        <f>IF(A229="","",IF(A229=Agendamento!$C$3,"x",""))</f>
        <v/>
      </c>
      <c r="G229" s="13" t="str">
        <f>IF(A229="","",IF(E229=Agendamento!$C$7,"x",""))</f>
        <v/>
      </c>
      <c r="H229" s="13" t="str">
        <f>IF(A229="","",IF(AND(Agendamento!$C$3="",Agendamento!$C$7&lt;&gt;""),IF(Agendamento!$C$7='Base de Dados'!E229,"x",""),IF(AND(Agendamento!$C$3&lt;&gt;"",Agendamento!$C$7=""),IF(Agendamento!$C$3='Base de Dados'!A229,"x",""),IF(AND(Agendamento!$C$3='Base de Dados'!A229,'Base de Dados'!E229=Agendamento!$C$7),"x",""))))</f>
        <v/>
      </c>
      <c r="I229" s="13" t="str">
        <f>IF(H229="x",COUNT($I$1:I228)+1,"")</f>
        <v/>
      </c>
    </row>
    <row r="230" spans="1:9" x14ac:dyDescent="0.25">
      <c r="A230" s="27"/>
      <c r="B230" s="28"/>
      <c r="C230" s="29"/>
      <c r="D230" s="29"/>
      <c r="E230" s="28"/>
      <c r="F230" s="13" t="str">
        <f>IF(A230="","",IF(A230=Agendamento!$C$3,"x",""))</f>
        <v/>
      </c>
      <c r="G230" s="13" t="str">
        <f>IF(A230="","",IF(E230=Agendamento!$C$7,"x",""))</f>
        <v/>
      </c>
      <c r="H230" s="13" t="str">
        <f>IF(A230="","",IF(AND(Agendamento!$C$3="",Agendamento!$C$7&lt;&gt;""),IF(Agendamento!$C$7='Base de Dados'!E230,"x",""),IF(AND(Agendamento!$C$3&lt;&gt;"",Agendamento!$C$7=""),IF(Agendamento!$C$3='Base de Dados'!A230,"x",""),IF(AND(Agendamento!$C$3='Base de Dados'!A230,'Base de Dados'!E230=Agendamento!$C$7),"x",""))))</f>
        <v/>
      </c>
      <c r="I230" s="13" t="str">
        <f>IF(H230="x",COUNT($I$1:I229)+1,"")</f>
        <v/>
      </c>
    </row>
    <row r="231" spans="1:9" x14ac:dyDescent="0.25">
      <c r="A231" s="27"/>
      <c r="B231" s="28"/>
      <c r="C231" s="29"/>
      <c r="D231" s="29"/>
      <c r="E231" s="28"/>
      <c r="F231" s="13" t="str">
        <f>IF(A231="","",IF(A231=Agendamento!$C$3,"x",""))</f>
        <v/>
      </c>
      <c r="G231" s="13" t="str">
        <f>IF(A231="","",IF(E231=Agendamento!$C$7,"x",""))</f>
        <v/>
      </c>
      <c r="H231" s="13" t="str">
        <f>IF(A231="","",IF(AND(Agendamento!$C$3="",Agendamento!$C$7&lt;&gt;""),IF(Agendamento!$C$7='Base de Dados'!E231,"x",""),IF(AND(Agendamento!$C$3&lt;&gt;"",Agendamento!$C$7=""),IF(Agendamento!$C$3='Base de Dados'!A231,"x",""),IF(AND(Agendamento!$C$3='Base de Dados'!A231,'Base de Dados'!E231=Agendamento!$C$7),"x",""))))</f>
        <v/>
      </c>
      <c r="I231" s="13" t="str">
        <f>IF(H231="x",COUNT($I$1:I230)+1,"")</f>
        <v/>
      </c>
    </row>
    <row r="232" spans="1:9" x14ac:dyDescent="0.25">
      <c r="A232" s="27"/>
      <c r="B232" s="28"/>
      <c r="C232" s="29"/>
      <c r="D232" s="29"/>
      <c r="E232" s="28"/>
      <c r="F232" s="13" t="str">
        <f>IF(A232="","",IF(A232=Agendamento!$C$3,"x",""))</f>
        <v/>
      </c>
      <c r="G232" s="13" t="str">
        <f>IF(A232="","",IF(E232=Agendamento!$C$7,"x",""))</f>
        <v/>
      </c>
      <c r="H232" s="13" t="str">
        <f>IF(A232="","",IF(AND(Agendamento!$C$3="",Agendamento!$C$7&lt;&gt;""),IF(Agendamento!$C$7='Base de Dados'!E232,"x",""),IF(AND(Agendamento!$C$3&lt;&gt;"",Agendamento!$C$7=""),IF(Agendamento!$C$3='Base de Dados'!A232,"x",""),IF(AND(Agendamento!$C$3='Base de Dados'!A232,'Base de Dados'!E232=Agendamento!$C$7),"x",""))))</f>
        <v/>
      </c>
      <c r="I232" s="13" t="str">
        <f>IF(H232="x",COUNT($I$1:I231)+1,"")</f>
        <v/>
      </c>
    </row>
    <row r="233" spans="1:9" x14ac:dyDescent="0.25">
      <c r="A233" s="27"/>
      <c r="B233" s="28"/>
      <c r="C233" s="29"/>
      <c r="D233" s="29"/>
      <c r="E233" s="28"/>
      <c r="F233" s="13" t="str">
        <f>IF(A233="","",IF(A233=Agendamento!$C$3,"x",""))</f>
        <v/>
      </c>
      <c r="G233" s="13" t="str">
        <f>IF(A233="","",IF(E233=Agendamento!$C$7,"x",""))</f>
        <v/>
      </c>
      <c r="H233" s="13" t="str">
        <f>IF(A233="","",IF(AND(Agendamento!$C$3="",Agendamento!$C$7&lt;&gt;""),IF(Agendamento!$C$7='Base de Dados'!E233,"x",""),IF(AND(Agendamento!$C$3&lt;&gt;"",Agendamento!$C$7=""),IF(Agendamento!$C$3='Base de Dados'!A233,"x",""),IF(AND(Agendamento!$C$3='Base de Dados'!A233,'Base de Dados'!E233=Agendamento!$C$7),"x",""))))</f>
        <v/>
      </c>
      <c r="I233" s="13" t="str">
        <f>IF(H233="x",COUNT($I$1:I232)+1,"")</f>
        <v/>
      </c>
    </row>
    <row r="234" spans="1:9" x14ac:dyDescent="0.25">
      <c r="A234" s="27"/>
      <c r="B234" s="28"/>
      <c r="C234" s="29"/>
      <c r="D234" s="29"/>
      <c r="E234" s="28"/>
      <c r="F234" s="13" t="str">
        <f>IF(A234="","",IF(A234=Agendamento!$C$3,"x",""))</f>
        <v/>
      </c>
      <c r="G234" s="13" t="str">
        <f>IF(A234="","",IF(E234=Agendamento!$C$7,"x",""))</f>
        <v/>
      </c>
      <c r="H234" s="13" t="str">
        <f>IF(A234="","",IF(AND(Agendamento!$C$3="",Agendamento!$C$7&lt;&gt;""),IF(Agendamento!$C$7='Base de Dados'!E234,"x",""),IF(AND(Agendamento!$C$3&lt;&gt;"",Agendamento!$C$7=""),IF(Agendamento!$C$3='Base de Dados'!A234,"x",""),IF(AND(Agendamento!$C$3='Base de Dados'!A234,'Base de Dados'!E234=Agendamento!$C$7),"x",""))))</f>
        <v/>
      </c>
      <c r="I234" s="13" t="str">
        <f>IF(H234="x",COUNT($I$1:I233)+1,"")</f>
        <v/>
      </c>
    </row>
    <row r="235" spans="1:9" x14ac:dyDescent="0.25">
      <c r="A235" s="27"/>
      <c r="B235" s="28"/>
      <c r="C235" s="29"/>
      <c r="D235" s="29"/>
      <c r="E235" s="28"/>
      <c r="F235" s="13" t="str">
        <f>IF(A235="","",IF(A235=Agendamento!$C$3,"x",""))</f>
        <v/>
      </c>
      <c r="G235" s="13" t="str">
        <f>IF(A235="","",IF(E235=Agendamento!$C$7,"x",""))</f>
        <v/>
      </c>
      <c r="H235" s="13" t="str">
        <f>IF(A235="","",IF(AND(Agendamento!$C$3="",Agendamento!$C$7&lt;&gt;""),IF(Agendamento!$C$7='Base de Dados'!E235,"x",""),IF(AND(Agendamento!$C$3&lt;&gt;"",Agendamento!$C$7=""),IF(Agendamento!$C$3='Base de Dados'!A235,"x",""),IF(AND(Agendamento!$C$3='Base de Dados'!A235,'Base de Dados'!E235=Agendamento!$C$7),"x",""))))</f>
        <v/>
      </c>
      <c r="I235" s="13" t="str">
        <f>IF(H235="x",COUNT($I$1:I234)+1,"")</f>
        <v/>
      </c>
    </row>
    <row r="236" spans="1:9" x14ac:dyDescent="0.25">
      <c r="A236" s="27"/>
      <c r="B236" s="28"/>
      <c r="C236" s="29"/>
      <c r="D236" s="29"/>
      <c r="E236" s="28"/>
      <c r="F236" s="13" t="str">
        <f>IF(A236="","",IF(A236=Agendamento!$C$3,"x",""))</f>
        <v/>
      </c>
      <c r="G236" s="13" t="str">
        <f>IF(A236="","",IF(E236=Agendamento!$C$7,"x",""))</f>
        <v/>
      </c>
      <c r="H236" s="13" t="str">
        <f>IF(A236="","",IF(AND(Agendamento!$C$3="",Agendamento!$C$7&lt;&gt;""),IF(Agendamento!$C$7='Base de Dados'!E236,"x",""),IF(AND(Agendamento!$C$3&lt;&gt;"",Agendamento!$C$7=""),IF(Agendamento!$C$3='Base de Dados'!A236,"x",""),IF(AND(Agendamento!$C$3='Base de Dados'!A236,'Base de Dados'!E236=Agendamento!$C$7),"x",""))))</f>
        <v/>
      </c>
      <c r="I236" s="13" t="str">
        <f>IF(H236="x",COUNT($I$1:I235)+1,"")</f>
        <v/>
      </c>
    </row>
    <row r="237" spans="1:9" x14ac:dyDescent="0.25">
      <c r="A237" s="27"/>
      <c r="B237" s="28"/>
      <c r="C237" s="29"/>
      <c r="D237" s="29"/>
      <c r="E237" s="28"/>
      <c r="F237" s="13" t="str">
        <f>IF(A237="","",IF(A237=Agendamento!$C$3,"x",""))</f>
        <v/>
      </c>
      <c r="G237" s="13" t="str">
        <f>IF(A237="","",IF(E237=Agendamento!$C$7,"x",""))</f>
        <v/>
      </c>
      <c r="H237" s="13" t="str">
        <f>IF(A237="","",IF(AND(Agendamento!$C$3="",Agendamento!$C$7&lt;&gt;""),IF(Agendamento!$C$7='Base de Dados'!E237,"x",""),IF(AND(Agendamento!$C$3&lt;&gt;"",Agendamento!$C$7=""),IF(Agendamento!$C$3='Base de Dados'!A237,"x",""),IF(AND(Agendamento!$C$3='Base de Dados'!A237,'Base de Dados'!E237=Agendamento!$C$7),"x",""))))</f>
        <v/>
      </c>
      <c r="I237" s="13" t="str">
        <f>IF(H237="x",COUNT($I$1:I236)+1,"")</f>
        <v/>
      </c>
    </row>
    <row r="238" spans="1:9" x14ac:dyDescent="0.25">
      <c r="A238" s="27"/>
      <c r="B238" s="28"/>
      <c r="C238" s="29"/>
      <c r="D238" s="29"/>
      <c r="E238" s="28"/>
      <c r="F238" s="13" t="str">
        <f>IF(A238="","",IF(A238=Agendamento!$C$3,"x",""))</f>
        <v/>
      </c>
      <c r="G238" s="13" t="str">
        <f>IF(A238="","",IF(E238=Agendamento!$C$7,"x",""))</f>
        <v/>
      </c>
      <c r="H238" s="13" t="str">
        <f>IF(A238="","",IF(AND(Agendamento!$C$3="",Agendamento!$C$7&lt;&gt;""),IF(Agendamento!$C$7='Base de Dados'!E238,"x",""),IF(AND(Agendamento!$C$3&lt;&gt;"",Agendamento!$C$7=""),IF(Agendamento!$C$3='Base de Dados'!A238,"x",""),IF(AND(Agendamento!$C$3='Base de Dados'!A238,'Base de Dados'!E238=Agendamento!$C$7),"x",""))))</f>
        <v/>
      </c>
      <c r="I238" s="13" t="str">
        <f>IF(H238="x",COUNT($I$1:I237)+1,"")</f>
        <v/>
      </c>
    </row>
    <row r="239" spans="1:9" x14ac:dyDescent="0.25">
      <c r="A239" s="27"/>
      <c r="B239" s="28"/>
      <c r="C239" s="29"/>
      <c r="D239" s="29"/>
      <c r="E239" s="28"/>
      <c r="F239" s="13" t="str">
        <f>IF(A239="","",IF(A239=Agendamento!$C$3,"x",""))</f>
        <v/>
      </c>
      <c r="G239" s="13" t="str">
        <f>IF(A239="","",IF(E239=Agendamento!$C$7,"x",""))</f>
        <v/>
      </c>
      <c r="H239" s="13" t="str">
        <f>IF(A239="","",IF(AND(Agendamento!$C$3="",Agendamento!$C$7&lt;&gt;""),IF(Agendamento!$C$7='Base de Dados'!E239,"x",""),IF(AND(Agendamento!$C$3&lt;&gt;"",Agendamento!$C$7=""),IF(Agendamento!$C$3='Base de Dados'!A239,"x",""),IF(AND(Agendamento!$C$3='Base de Dados'!A239,'Base de Dados'!E239=Agendamento!$C$7),"x",""))))</f>
        <v/>
      </c>
      <c r="I239" s="13" t="str">
        <f>IF(H239="x",COUNT($I$1:I238)+1,"")</f>
        <v/>
      </c>
    </row>
    <row r="240" spans="1:9" x14ac:dyDescent="0.25">
      <c r="A240" s="27"/>
      <c r="B240" s="28"/>
      <c r="C240" s="29"/>
      <c r="D240" s="29"/>
      <c r="E240" s="28"/>
      <c r="F240" s="13" t="str">
        <f>IF(A240="","",IF(A240=Agendamento!$C$3,"x",""))</f>
        <v/>
      </c>
      <c r="G240" s="13" t="str">
        <f>IF(A240="","",IF(E240=Agendamento!$C$7,"x",""))</f>
        <v/>
      </c>
      <c r="H240" s="13" t="str">
        <f>IF(A240="","",IF(AND(Agendamento!$C$3="",Agendamento!$C$7&lt;&gt;""),IF(Agendamento!$C$7='Base de Dados'!E240,"x",""),IF(AND(Agendamento!$C$3&lt;&gt;"",Agendamento!$C$7=""),IF(Agendamento!$C$3='Base de Dados'!A240,"x",""),IF(AND(Agendamento!$C$3='Base de Dados'!A240,'Base de Dados'!E240=Agendamento!$C$7),"x",""))))</f>
        <v/>
      </c>
      <c r="I240" s="13" t="str">
        <f>IF(H240="x",COUNT($I$1:I239)+1,"")</f>
        <v/>
      </c>
    </row>
    <row r="241" spans="1:9" x14ac:dyDescent="0.25">
      <c r="A241" s="27"/>
      <c r="B241" s="28"/>
      <c r="C241" s="29"/>
      <c r="D241" s="29"/>
      <c r="E241" s="28"/>
      <c r="F241" s="13" t="str">
        <f>IF(A241="","",IF(A241=Agendamento!$C$3,"x",""))</f>
        <v/>
      </c>
      <c r="G241" s="13" t="str">
        <f>IF(A241="","",IF(E241=Agendamento!$C$7,"x",""))</f>
        <v/>
      </c>
      <c r="H241" s="13" t="str">
        <f>IF(A241="","",IF(AND(Agendamento!$C$3="",Agendamento!$C$7&lt;&gt;""),IF(Agendamento!$C$7='Base de Dados'!E241,"x",""),IF(AND(Agendamento!$C$3&lt;&gt;"",Agendamento!$C$7=""),IF(Agendamento!$C$3='Base de Dados'!A241,"x",""),IF(AND(Agendamento!$C$3='Base de Dados'!A241,'Base de Dados'!E241=Agendamento!$C$7),"x",""))))</f>
        <v/>
      </c>
      <c r="I241" s="13" t="str">
        <f>IF(H241="x",COUNT($I$1:I240)+1,"")</f>
        <v/>
      </c>
    </row>
    <row r="242" spans="1:9" x14ac:dyDescent="0.25">
      <c r="A242" s="27"/>
      <c r="B242" s="28"/>
      <c r="C242" s="29"/>
      <c r="D242" s="29"/>
      <c r="E242" s="28"/>
      <c r="F242" s="13" t="str">
        <f>IF(A242="","",IF(A242=Agendamento!$C$3,"x",""))</f>
        <v/>
      </c>
      <c r="G242" s="13" t="str">
        <f>IF(A242="","",IF(E242=Agendamento!$C$7,"x",""))</f>
        <v/>
      </c>
      <c r="H242" s="13" t="str">
        <f>IF(A242="","",IF(AND(Agendamento!$C$3="",Agendamento!$C$7&lt;&gt;""),IF(Agendamento!$C$7='Base de Dados'!E242,"x",""),IF(AND(Agendamento!$C$3&lt;&gt;"",Agendamento!$C$7=""),IF(Agendamento!$C$3='Base de Dados'!A242,"x",""),IF(AND(Agendamento!$C$3='Base de Dados'!A242,'Base de Dados'!E242=Agendamento!$C$7),"x",""))))</f>
        <v/>
      </c>
      <c r="I242" s="13" t="str">
        <f>IF(H242="x",COUNT($I$1:I241)+1,"")</f>
        <v/>
      </c>
    </row>
    <row r="243" spans="1:9" x14ac:dyDescent="0.25">
      <c r="A243" s="27"/>
      <c r="B243" s="28"/>
      <c r="C243" s="29"/>
      <c r="D243" s="29"/>
      <c r="E243" s="28"/>
      <c r="F243" s="13" t="str">
        <f>IF(A243="","",IF(A243=Agendamento!$C$3,"x",""))</f>
        <v/>
      </c>
      <c r="G243" s="13" t="str">
        <f>IF(A243="","",IF(E243=Agendamento!$C$7,"x",""))</f>
        <v/>
      </c>
      <c r="H243" s="13" t="str">
        <f>IF(A243="","",IF(AND(Agendamento!$C$3="",Agendamento!$C$7&lt;&gt;""),IF(Agendamento!$C$7='Base de Dados'!E243,"x",""),IF(AND(Agendamento!$C$3&lt;&gt;"",Agendamento!$C$7=""),IF(Agendamento!$C$3='Base de Dados'!A243,"x",""),IF(AND(Agendamento!$C$3='Base de Dados'!A243,'Base de Dados'!E243=Agendamento!$C$7),"x",""))))</f>
        <v/>
      </c>
      <c r="I243" s="13" t="str">
        <f>IF(H243="x",COUNT($I$1:I242)+1,"")</f>
        <v/>
      </c>
    </row>
    <row r="244" spans="1:9" x14ac:dyDescent="0.25">
      <c r="A244" s="27"/>
      <c r="B244" s="28"/>
      <c r="C244" s="29"/>
      <c r="D244" s="29"/>
      <c r="E244" s="28"/>
      <c r="F244" s="13" t="str">
        <f>IF(A244="","",IF(A244=Agendamento!$C$3,"x",""))</f>
        <v/>
      </c>
      <c r="G244" s="13" t="str">
        <f>IF(A244="","",IF(E244=Agendamento!$C$7,"x",""))</f>
        <v/>
      </c>
      <c r="H244" s="13" t="str">
        <f>IF(A244="","",IF(AND(Agendamento!$C$3="",Agendamento!$C$7&lt;&gt;""),IF(Agendamento!$C$7='Base de Dados'!E244,"x",""),IF(AND(Agendamento!$C$3&lt;&gt;"",Agendamento!$C$7=""),IF(Agendamento!$C$3='Base de Dados'!A244,"x",""),IF(AND(Agendamento!$C$3='Base de Dados'!A244,'Base de Dados'!E244=Agendamento!$C$7),"x",""))))</f>
        <v/>
      </c>
      <c r="I244" s="13" t="str">
        <f>IF(H244="x",COUNT($I$1:I243)+1,"")</f>
        <v/>
      </c>
    </row>
    <row r="245" spans="1:9" x14ac:dyDescent="0.25">
      <c r="A245" s="27"/>
      <c r="B245" s="28"/>
      <c r="C245" s="29"/>
      <c r="D245" s="29"/>
      <c r="E245" s="28"/>
      <c r="F245" s="13" t="str">
        <f>IF(A245="","",IF(A245=Agendamento!$C$3,"x",""))</f>
        <v/>
      </c>
      <c r="G245" s="13" t="str">
        <f>IF(A245="","",IF(E245=Agendamento!$C$7,"x",""))</f>
        <v/>
      </c>
      <c r="H245" s="13" t="str">
        <f>IF(A245="","",IF(AND(Agendamento!$C$3="",Agendamento!$C$7&lt;&gt;""),IF(Agendamento!$C$7='Base de Dados'!E245,"x",""),IF(AND(Agendamento!$C$3&lt;&gt;"",Agendamento!$C$7=""),IF(Agendamento!$C$3='Base de Dados'!A245,"x",""),IF(AND(Agendamento!$C$3='Base de Dados'!A245,'Base de Dados'!E245=Agendamento!$C$7),"x",""))))</f>
        <v/>
      </c>
      <c r="I245" s="13" t="str">
        <f>IF(H245="x",COUNT($I$1:I244)+1,"")</f>
        <v/>
      </c>
    </row>
    <row r="246" spans="1:9" x14ac:dyDescent="0.25">
      <c r="A246" s="27"/>
      <c r="B246" s="28"/>
      <c r="C246" s="29"/>
      <c r="D246" s="29"/>
      <c r="E246" s="28"/>
      <c r="F246" s="13" t="str">
        <f>IF(A246="","",IF(A246=Agendamento!$C$3,"x",""))</f>
        <v/>
      </c>
      <c r="G246" s="13" t="str">
        <f>IF(A246="","",IF(E246=Agendamento!$C$7,"x",""))</f>
        <v/>
      </c>
      <c r="H246" s="13" t="str">
        <f>IF(A246="","",IF(AND(Agendamento!$C$3="",Agendamento!$C$7&lt;&gt;""),IF(Agendamento!$C$7='Base de Dados'!E246,"x",""),IF(AND(Agendamento!$C$3&lt;&gt;"",Agendamento!$C$7=""),IF(Agendamento!$C$3='Base de Dados'!A246,"x",""),IF(AND(Agendamento!$C$3='Base de Dados'!A246,'Base de Dados'!E246=Agendamento!$C$7),"x",""))))</f>
        <v/>
      </c>
      <c r="I246" s="13" t="str">
        <f>IF(H246="x",COUNT($I$1:I245)+1,"")</f>
        <v/>
      </c>
    </row>
    <row r="247" spans="1:9" x14ac:dyDescent="0.25">
      <c r="A247" s="27"/>
      <c r="B247" s="28"/>
      <c r="C247" s="29"/>
      <c r="D247" s="29"/>
      <c r="E247" s="28"/>
      <c r="F247" s="13" t="str">
        <f>IF(A247="","",IF(A247=Agendamento!$C$3,"x",""))</f>
        <v/>
      </c>
      <c r="G247" s="13" t="str">
        <f>IF(A247="","",IF(E247=Agendamento!$C$7,"x",""))</f>
        <v/>
      </c>
      <c r="H247" s="13" t="str">
        <f>IF(A247="","",IF(AND(Agendamento!$C$3="",Agendamento!$C$7&lt;&gt;""),IF(Agendamento!$C$7='Base de Dados'!E247,"x",""),IF(AND(Agendamento!$C$3&lt;&gt;"",Agendamento!$C$7=""),IF(Agendamento!$C$3='Base de Dados'!A247,"x",""),IF(AND(Agendamento!$C$3='Base de Dados'!A247,'Base de Dados'!E247=Agendamento!$C$7),"x",""))))</f>
        <v/>
      </c>
      <c r="I247" s="13" t="str">
        <f>IF(H247="x",COUNT($I$1:I246)+1,"")</f>
        <v/>
      </c>
    </row>
    <row r="248" spans="1:9" x14ac:dyDescent="0.25">
      <c r="A248" s="27"/>
      <c r="B248" s="28"/>
      <c r="C248" s="29"/>
      <c r="D248" s="29"/>
      <c r="E248" s="28"/>
      <c r="F248" s="13" t="str">
        <f>IF(A248="","",IF(A248=Agendamento!$C$3,"x",""))</f>
        <v/>
      </c>
      <c r="G248" s="13" t="str">
        <f>IF(A248="","",IF(E248=Agendamento!$C$7,"x",""))</f>
        <v/>
      </c>
      <c r="H248" s="13" t="str">
        <f>IF(A248="","",IF(AND(Agendamento!$C$3="",Agendamento!$C$7&lt;&gt;""),IF(Agendamento!$C$7='Base de Dados'!E248,"x",""),IF(AND(Agendamento!$C$3&lt;&gt;"",Agendamento!$C$7=""),IF(Agendamento!$C$3='Base de Dados'!A248,"x",""),IF(AND(Agendamento!$C$3='Base de Dados'!A248,'Base de Dados'!E248=Agendamento!$C$7),"x",""))))</f>
        <v/>
      </c>
      <c r="I248" s="13" t="str">
        <f>IF(H248="x",COUNT($I$1:I247)+1,"")</f>
        <v/>
      </c>
    </row>
    <row r="249" spans="1:9" x14ac:dyDescent="0.25">
      <c r="A249" s="27"/>
      <c r="B249" s="28"/>
      <c r="C249" s="29"/>
      <c r="D249" s="29"/>
      <c r="E249" s="28"/>
      <c r="F249" s="13" t="str">
        <f>IF(A249="","",IF(A249=Agendamento!$C$3,"x",""))</f>
        <v/>
      </c>
      <c r="G249" s="13" t="str">
        <f>IF(A249="","",IF(E249=Agendamento!$C$7,"x",""))</f>
        <v/>
      </c>
      <c r="H249" s="13" t="str">
        <f>IF(A249="","",IF(AND(Agendamento!$C$3="",Agendamento!$C$7&lt;&gt;""),IF(Agendamento!$C$7='Base de Dados'!E249,"x",""),IF(AND(Agendamento!$C$3&lt;&gt;"",Agendamento!$C$7=""),IF(Agendamento!$C$3='Base de Dados'!A249,"x",""),IF(AND(Agendamento!$C$3='Base de Dados'!A249,'Base de Dados'!E249=Agendamento!$C$7),"x",""))))</f>
        <v/>
      </c>
      <c r="I249" s="13" t="str">
        <f>IF(H249="x",COUNT($I$1:I248)+1,"")</f>
        <v/>
      </c>
    </row>
    <row r="250" spans="1:9" x14ac:dyDescent="0.25">
      <c r="A250" s="27"/>
      <c r="B250" s="28"/>
      <c r="C250" s="29"/>
      <c r="D250" s="29"/>
      <c r="E250" s="28"/>
      <c r="F250" s="13" t="str">
        <f>IF(A250="","",IF(A250=Agendamento!$C$3,"x",""))</f>
        <v/>
      </c>
      <c r="G250" s="13" t="str">
        <f>IF(A250="","",IF(E250=Agendamento!$C$7,"x",""))</f>
        <v/>
      </c>
      <c r="H250" s="13" t="str">
        <f>IF(A250="","",IF(AND(Agendamento!$C$3="",Agendamento!$C$7&lt;&gt;""),IF(Agendamento!$C$7='Base de Dados'!E250,"x",""),IF(AND(Agendamento!$C$3&lt;&gt;"",Agendamento!$C$7=""),IF(Agendamento!$C$3='Base de Dados'!A250,"x",""),IF(AND(Agendamento!$C$3='Base de Dados'!A250,'Base de Dados'!E250=Agendamento!$C$7),"x",""))))</f>
        <v/>
      </c>
      <c r="I250" s="13" t="str">
        <f>IF(H250="x",COUNT($I$1:I249)+1,"")</f>
        <v/>
      </c>
    </row>
    <row r="251" spans="1:9" x14ac:dyDescent="0.25">
      <c r="A251" s="27"/>
      <c r="B251" s="28"/>
      <c r="C251" s="29"/>
      <c r="D251" s="29"/>
      <c r="E251" s="28"/>
      <c r="F251" s="13" t="str">
        <f>IF(A251="","",IF(A251=Agendamento!$C$3,"x",""))</f>
        <v/>
      </c>
      <c r="G251" s="13" t="str">
        <f>IF(A251="","",IF(E251=Agendamento!$C$7,"x",""))</f>
        <v/>
      </c>
      <c r="H251" s="13" t="str">
        <f>IF(A251="","",IF(AND(Agendamento!$C$3="",Agendamento!$C$7&lt;&gt;""),IF(Agendamento!$C$7='Base de Dados'!E251,"x",""),IF(AND(Agendamento!$C$3&lt;&gt;"",Agendamento!$C$7=""),IF(Agendamento!$C$3='Base de Dados'!A251,"x",""),IF(AND(Agendamento!$C$3='Base de Dados'!A251,'Base de Dados'!E251=Agendamento!$C$7),"x",""))))</f>
        <v/>
      </c>
      <c r="I251" s="13" t="str">
        <f>IF(H251="x",COUNT($I$1:I250)+1,"")</f>
        <v/>
      </c>
    </row>
    <row r="252" spans="1:9" x14ac:dyDescent="0.25">
      <c r="A252" s="27"/>
      <c r="B252" s="28"/>
      <c r="C252" s="29"/>
      <c r="D252" s="29"/>
      <c r="E252" s="28"/>
      <c r="F252" s="13" t="str">
        <f>IF(A252="","",IF(A252=Agendamento!$C$3,"x",""))</f>
        <v/>
      </c>
      <c r="G252" s="13" t="str">
        <f>IF(A252="","",IF(E252=Agendamento!$C$7,"x",""))</f>
        <v/>
      </c>
      <c r="H252" s="13" t="str">
        <f>IF(A252="","",IF(AND(Agendamento!$C$3="",Agendamento!$C$7&lt;&gt;""),IF(Agendamento!$C$7='Base de Dados'!E252,"x",""),IF(AND(Agendamento!$C$3&lt;&gt;"",Agendamento!$C$7=""),IF(Agendamento!$C$3='Base de Dados'!A252,"x",""),IF(AND(Agendamento!$C$3='Base de Dados'!A252,'Base de Dados'!E252=Agendamento!$C$7),"x",""))))</f>
        <v/>
      </c>
      <c r="I252" s="13" t="str">
        <f>IF(H252="x",COUNT($I$1:I251)+1,"")</f>
        <v/>
      </c>
    </row>
    <row r="253" spans="1:9" x14ac:dyDescent="0.25">
      <c r="A253" s="27"/>
      <c r="B253" s="28"/>
      <c r="C253" s="29"/>
      <c r="D253" s="29"/>
      <c r="E253" s="28"/>
      <c r="F253" s="13" t="str">
        <f>IF(A253="","",IF(A253=Agendamento!$C$3,"x",""))</f>
        <v/>
      </c>
      <c r="G253" s="13" t="str">
        <f>IF(A253="","",IF(E253=Agendamento!$C$7,"x",""))</f>
        <v/>
      </c>
      <c r="H253" s="13" t="str">
        <f>IF(A253="","",IF(AND(Agendamento!$C$3="",Agendamento!$C$7&lt;&gt;""),IF(Agendamento!$C$7='Base de Dados'!E253,"x",""),IF(AND(Agendamento!$C$3&lt;&gt;"",Agendamento!$C$7=""),IF(Agendamento!$C$3='Base de Dados'!A253,"x",""),IF(AND(Agendamento!$C$3='Base de Dados'!A253,'Base de Dados'!E253=Agendamento!$C$7),"x",""))))</f>
        <v/>
      </c>
      <c r="I253" s="13" t="str">
        <f>IF(H253="x",COUNT($I$1:I252)+1,"")</f>
        <v/>
      </c>
    </row>
    <row r="254" spans="1:9" x14ac:dyDescent="0.25">
      <c r="A254" s="27"/>
      <c r="B254" s="28"/>
      <c r="C254" s="29"/>
      <c r="D254" s="29"/>
      <c r="E254" s="28"/>
      <c r="F254" s="13" t="str">
        <f>IF(A254="","",IF(A254=Agendamento!$C$3,"x",""))</f>
        <v/>
      </c>
      <c r="G254" s="13" t="str">
        <f>IF(A254="","",IF(E254=Agendamento!$C$7,"x",""))</f>
        <v/>
      </c>
      <c r="H254" s="13" t="str">
        <f>IF(A254="","",IF(AND(Agendamento!$C$3="",Agendamento!$C$7&lt;&gt;""),IF(Agendamento!$C$7='Base de Dados'!E254,"x",""),IF(AND(Agendamento!$C$3&lt;&gt;"",Agendamento!$C$7=""),IF(Agendamento!$C$3='Base de Dados'!A254,"x",""),IF(AND(Agendamento!$C$3='Base de Dados'!A254,'Base de Dados'!E254=Agendamento!$C$7),"x",""))))</f>
        <v/>
      </c>
      <c r="I254" s="13" t="str">
        <f>IF(H254="x",COUNT($I$1:I253)+1,"")</f>
        <v/>
      </c>
    </row>
    <row r="255" spans="1:9" x14ac:dyDescent="0.25">
      <c r="A255" s="27"/>
      <c r="B255" s="28"/>
      <c r="C255" s="29"/>
      <c r="D255" s="29"/>
      <c r="E255" s="28"/>
      <c r="F255" s="13" t="str">
        <f>IF(A255="","",IF(A255=Agendamento!$C$3,"x",""))</f>
        <v/>
      </c>
      <c r="G255" s="13" t="str">
        <f>IF(A255="","",IF(E255=Agendamento!$C$7,"x",""))</f>
        <v/>
      </c>
      <c r="H255" s="13" t="str">
        <f>IF(A255="","",IF(AND(Agendamento!$C$3="",Agendamento!$C$7&lt;&gt;""),IF(Agendamento!$C$7='Base de Dados'!E255,"x",""),IF(AND(Agendamento!$C$3&lt;&gt;"",Agendamento!$C$7=""),IF(Agendamento!$C$3='Base de Dados'!A255,"x",""),IF(AND(Agendamento!$C$3='Base de Dados'!A255,'Base de Dados'!E255=Agendamento!$C$7),"x",""))))</f>
        <v/>
      </c>
      <c r="I255" s="13" t="str">
        <f>IF(H255="x",COUNT($I$1:I254)+1,"")</f>
        <v/>
      </c>
    </row>
    <row r="256" spans="1:9" x14ac:dyDescent="0.25">
      <c r="A256" s="27"/>
      <c r="B256" s="28"/>
      <c r="C256" s="29"/>
      <c r="D256" s="29"/>
      <c r="E256" s="28"/>
      <c r="F256" s="13" t="str">
        <f>IF(A256="","",IF(A256=Agendamento!$C$3,"x",""))</f>
        <v/>
      </c>
      <c r="G256" s="13" t="str">
        <f>IF(A256="","",IF(E256=Agendamento!$C$7,"x",""))</f>
        <v/>
      </c>
      <c r="H256" s="13" t="str">
        <f>IF(A256="","",IF(AND(Agendamento!$C$3="",Agendamento!$C$7&lt;&gt;""),IF(Agendamento!$C$7='Base de Dados'!E256,"x",""),IF(AND(Agendamento!$C$3&lt;&gt;"",Agendamento!$C$7=""),IF(Agendamento!$C$3='Base de Dados'!A256,"x",""),IF(AND(Agendamento!$C$3='Base de Dados'!A256,'Base de Dados'!E256=Agendamento!$C$7),"x",""))))</f>
        <v/>
      </c>
      <c r="I256" s="13" t="str">
        <f>IF(H256="x",COUNT($I$1:I255)+1,"")</f>
        <v/>
      </c>
    </row>
    <row r="257" spans="1:9" x14ac:dyDescent="0.25">
      <c r="A257" s="27"/>
      <c r="B257" s="28"/>
      <c r="C257" s="29"/>
      <c r="D257" s="29"/>
      <c r="E257" s="28"/>
      <c r="F257" s="13" t="str">
        <f>IF(A257="","",IF(A257=Agendamento!$C$3,"x",""))</f>
        <v/>
      </c>
      <c r="G257" s="13" t="str">
        <f>IF(A257="","",IF(E257=Agendamento!$C$7,"x",""))</f>
        <v/>
      </c>
      <c r="H257" s="13" t="str">
        <f>IF(A257="","",IF(AND(Agendamento!$C$3="",Agendamento!$C$7&lt;&gt;""),IF(Agendamento!$C$7='Base de Dados'!E257,"x",""),IF(AND(Agendamento!$C$3&lt;&gt;"",Agendamento!$C$7=""),IF(Agendamento!$C$3='Base de Dados'!A257,"x",""),IF(AND(Agendamento!$C$3='Base de Dados'!A257,'Base de Dados'!E257=Agendamento!$C$7),"x",""))))</f>
        <v/>
      </c>
      <c r="I257" s="13" t="str">
        <f>IF(H257="x",COUNT($I$1:I256)+1,"")</f>
        <v/>
      </c>
    </row>
    <row r="258" spans="1:9" x14ac:dyDescent="0.25">
      <c r="A258" s="27"/>
      <c r="B258" s="28"/>
      <c r="C258" s="29"/>
      <c r="D258" s="29"/>
      <c r="E258" s="28"/>
      <c r="F258" s="13" t="str">
        <f>IF(A258="","",IF(A258=Agendamento!$C$3,"x",""))</f>
        <v/>
      </c>
      <c r="G258" s="13" t="str">
        <f>IF(A258="","",IF(E258=Agendamento!$C$7,"x",""))</f>
        <v/>
      </c>
      <c r="H258" s="13" t="str">
        <f>IF(A258="","",IF(AND(Agendamento!$C$3="",Agendamento!$C$7&lt;&gt;""),IF(Agendamento!$C$7='Base de Dados'!E258,"x",""),IF(AND(Agendamento!$C$3&lt;&gt;"",Agendamento!$C$7=""),IF(Agendamento!$C$3='Base de Dados'!A258,"x",""),IF(AND(Agendamento!$C$3='Base de Dados'!A258,'Base de Dados'!E258=Agendamento!$C$7),"x",""))))</f>
        <v/>
      </c>
      <c r="I258" s="13" t="str">
        <f>IF(H258="x",COUNT($I$1:I257)+1,"")</f>
        <v/>
      </c>
    </row>
    <row r="259" spans="1:9" x14ac:dyDescent="0.25">
      <c r="A259" s="27"/>
      <c r="B259" s="28"/>
      <c r="C259" s="29"/>
      <c r="D259" s="29"/>
      <c r="E259" s="28"/>
      <c r="F259" s="13" t="str">
        <f>IF(A259="","",IF(A259=Agendamento!$C$3,"x",""))</f>
        <v/>
      </c>
      <c r="G259" s="13" t="str">
        <f>IF(A259="","",IF(E259=Agendamento!$C$7,"x",""))</f>
        <v/>
      </c>
      <c r="H259" s="13" t="str">
        <f>IF(A259="","",IF(AND(Agendamento!$C$3="",Agendamento!$C$7&lt;&gt;""),IF(Agendamento!$C$7='Base de Dados'!E259,"x",""),IF(AND(Agendamento!$C$3&lt;&gt;"",Agendamento!$C$7=""),IF(Agendamento!$C$3='Base de Dados'!A259,"x",""),IF(AND(Agendamento!$C$3='Base de Dados'!A259,'Base de Dados'!E259=Agendamento!$C$7),"x",""))))</f>
        <v/>
      </c>
      <c r="I259" s="13" t="str">
        <f>IF(H259="x",COUNT($I$1:I258)+1,"")</f>
        <v/>
      </c>
    </row>
    <row r="260" spans="1:9" x14ac:dyDescent="0.25">
      <c r="A260" s="27"/>
      <c r="B260" s="28"/>
      <c r="C260" s="29"/>
      <c r="D260" s="29"/>
      <c r="E260" s="28"/>
      <c r="F260" s="13" t="str">
        <f>IF(A260="","",IF(A260=Agendamento!$C$3,"x",""))</f>
        <v/>
      </c>
      <c r="G260" s="13" t="str">
        <f>IF(A260="","",IF(E260=Agendamento!$C$7,"x",""))</f>
        <v/>
      </c>
      <c r="H260" s="13" t="str">
        <f>IF(A260="","",IF(AND(Agendamento!$C$3="",Agendamento!$C$7&lt;&gt;""),IF(Agendamento!$C$7='Base de Dados'!E260,"x",""),IF(AND(Agendamento!$C$3&lt;&gt;"",Agendamento!$C$7=""),IF(Agendamento!$C$3='Base de Dados'!A260,"x",""),IF(AND(Agendamento!$C$3='Base de Dados'!A260,'Base de Dados'!E260=Agendamento!$C$7),"x",""))))</f>
        <v/>
      </c>
      <c r="I260" s="13" t="str">
        <f>IF(H260="x",COUNT($I$1:I259)+1,"")</f>
        <v/>
      </c>
    </row>
    <row r="261" spans="1:9" x14ac:dyDescent="0.25">
      <c r="A261" s="27"/>
      <c r="B261" s="28"/>
      <c r="C261" s="29"/>
      <c r="D261" s="29"/>
      <c r="E261" s="28"/>
      <c r="F261" s="13" t="str">
        <f>IF(A261="","",IF(A261=Agendamento!$C$3,"x",""))</f>
        <v/>
      </c>
      <c r="G261" s="13" t="str">
        <f>IF(A261="","",IF(E261=Agendamento!$C$7,"x",""))</f>
        <v/>
      </c>
      <c r="H261" s="13" t="str">
        <f>IF(A261="","",IF(AND(Agendamento!$C$3="",Agendamento!$C$7&lt;&gt;""),IF(Agendamento!$C$7='Base de Dados'!E261,"x",""),IF(AND(Agendamento!$C$3&lt;&gt;"",Agendamento!$C$7=""),IF(Agendamento!$C$3='Base de Dados'!A261,"x",""),IF(AND(Agendamento!$C$3='Base de Dados'!A261,'Base de Dados'!E261=Agendamento!$C$7),"x",""))))</f>
        <v/>
      </c>
      <c r="I261" s="13" t="str">
        <f>IF(H261="x",COUNT($I$1:I260)+1,"")</f>
        <v/>
      </c>
    </row>
    <row r="262" spans="1:9" x14ac:dyDescent="0.25">
      <c r="A262" s="27"/>
      <c r="B262" s="28"/>
      <c r="C262" s="29"/>
      <c r="D262" s="29"/>
      <c r="E262" s="28"/>
      <c r="F262" s="13" t="str">
        <f>IF(A262="","",IF(A262=Agendamento!$C$3,"x",""))</f>
        <v/>
      </c>
      <c r="G262" s="13" t="str">
        <f>IF(A262="","",IF(E262=Agendamento!$C$7,"x",""))</f>
        <v/>
      </c>
      <c r="H262" s="13" t="str">
        <f>IF(A262="","",IF(AND(Agendamento!$C$3="",Agendamento!$C$7&lt;&gt;""),IF(Agendamento!$C$7='Base de Dados'!E262,"x",""),IF(AND(Agendamento!$C$3&lt;&gt;"",Agendamento!$C$7=""),IF(Agendamento!$C$3='Base de Dados'!A262,"x",""),IF(AND(Agendamento!$C$3='Base de Dados'!A262,'Base de Dados'!E262=Agendamento!$C$7),"x",""))))</f>
        <v/>
      </c>
      <c r="I262" s="13" t="str">
        <f>IF(H262="x",COUNT($I$1:I261)+1,"")</f>
        <v/>
      </c>
    </row>
    <row r="263" spans="1:9" x14ac:dyDescent="0.25">
      <c r="A263" s="27"/>
      <c r="B263" s="28"/>
      <c r="C263" s="29"/>
      <c r="D263" s="29"/>
      <c r="E263" s="28"/>
      <c r="F263" s="13" t="str">
        <f>IF(A263="","",IF(A263=Agendamento!$C$3,"x",""))</f>
        <v/>
      </c>
      <c r="G263" s="13" t="str">
        <f>IF(A263="","",IF(E263=Agendamento!$C$7,"x",""))</f>
        <v/>
      </c>
      <c r="H263" s="13" t="str">
        <f>IF(A263="","",IF(AND(Agendamento!$C$3="",Agendamento!$C$7&lt;&gt;""),IF(Agendamento!$C$7='Base de Dados'!E263,"x",""),IF(AND(Agendamento!$C$3&lt;&gt;"",Agendamento!$C$7=""),IF(Agendamento!$C$3='Base de Dados'!A263,"x",""),IF(AND(Agendamento!$C$3='Base de Dados'!A263,'Base de Dados'!E263=Agendamento!$C$7),"x",""))))</f>
        <v/>
      </c>
      <c r="I263" s="13" t="str">
        <f>IF(H263="x",COUNT($I$1:I262)+1,"")</f>
        <v/>
      </c>
    </row>
    <row r="264" spans="1:9" x14ac:dyDescent="0.25">
      <c r="A264" s="27"/>
      <c r="B264" s="28"/>
      <c r="C264" s="29"/>
      <c r="D264" s="29"/>
      <c r="E264" s="28"/>
      <c r="F264" s="13" t="str">
        <f>IF(A264="","",IF(A264=Agendamento!$C$3,"x",""))</f>
        <v/>
      </c>
      <c r="G264" s="13" t="str">
        <f>IF(A264="","",IF(E264=Agendamento!$C$7,"x",""))</f>
        <v/>
      </c>
      <c r="H264" s="13" t="str">
        <f>IF(A264="","",IF(AND(Agendamento!$C$3="",Agendamento!$C$7&lt;&gt;""),IF(Agendamento!$C$7='Base de Dados'!E264,"x",""),IF(AND(Agendamento!$C$3&lt;&gt;"",Agendamento!$C$7=""),IF(Agendamento!$C$3='Base de Dados'!A264,"x",""),IF(AND(Agendamento!$C$3='Base de Dados'!A264,'Base de Dados'!E264=Agendamento!$C$7),"x",""))))</f>
        <v/>
      </c>
      <c r="I264" s="13" t="str">
        <f>IF(H264="x",COUNT($I$1:I263)+1,"")</f>
        <v/>
      </c>
    </row>
    <row r="265" spans="1:9" x14ac:dyDescent="0.25">
      <c r="A265" s="27"/>
      <c r="B265" s="28"/>
      <c r="C265" s="29"/>
      <c r="D265" s="29"/>
      <c r="E265" s="28"/>
      <c r="F265" s="13" t="str">
        <f>IF(A265="","",IF(A265=Agendamento!$C$3,"x",""))</f>
        <v/>
      </c>
      <c r="G265" s="13" t="str">
        <f>IF(A265="","",IF(E265=Agendamento!$C$7,"x",""))</f>
        <v/>
      </c>
      <c r="H265" s="13" t="str">
        <f>IF(A265="","",IF(AND(Agendamento!$C$3="",Agendamento!$C$7&lt;&gt;""),IF(Agendamento!$C$7='Base de Dados'!E265,"x",""),IF(AND(Agendamento!$C$3&lt;&gt;"",Agendamento!$C$7=""),IF(Agendamento!$C$3='Base de Dados'!A265,"x",""),IF(AND(Agendamento!$C$3='Base de Dados'!A265,'Base de Dados'!E265=Agendamento!$C$7),"x",""))))</f>
        <v/>
      </c>
      <c r="I265" s="13" t="str">
        <f>IF(H265="x",COUNT($I$1:I264)+1,"")</f>
        <v/>
      </c>
    </row>
    <row r="266" spans="1:9" x14ac:dyDescent="0.25">
      <c r="A266" s="27"/>
      <c r="B266" s="28"/>
      <c r="C266" s="29"/>
      <c r="D266" s="29"/>
      <c r="E266" s="28"/>
      <c r="F266" s="13" t="str">
        <f>IF(A266="","",IF(A266=Agendamento!$C$3,"x",""))</f>
        <v/>
      </c>
      <c r="G266" s="13" t="str">
        <f>IF(A266="","",IF(E266=Agendamento!$C$7,"x",""))</f>
        <v/>
      </c>
      <c r="H266" s="13" t="str">
        <f>IF(A266="","",IF(AND(Agendamento!$C$3="",Agendamento!$C$7&lt;&gt;""),IF(Agendamento!$C$7='Base de Dados'!E266,"x",""),IF(AND(Agendamento!$C$3&lt;&gt;"",Agendamento!$C$7=""),IF(Agendamento!$C$3='Base de Dados'!A266,"x",""),IF(AND(Agendamento!$C$3='Base de Dados'!A266,'Base de Dados'!E266=Agendamento!$C$7),"x",""))))</f>
        <v/>
      </c>
      <c r="I266" s="13" t="str">
        <f>IF(H266="x",COUNT($I$1:I265)+1,"")</f>
        <v/>
      </c>
    </row>
    <row r="267" spans="1:9" x14ac:dyDescent="0.25">
      <c r="A267" s="27"/>
      <c r="B267" s="28"/>
      <c r="C267" s="29"/>
      <c r="D267" s="29"/>
      <c r="E267" s="28"/>
      <c r="F267" s="13" t="str">
        <f>IF(A267="","",IF(A267=Agendamento!$C$3,"x",""))</f>
        <v/>
      </c>
      <c r="G267" s="13" t="str">
        <f>IF(A267="","",IF(E267=Agendamento!$C$7,"x",""))</f>
        <v/>
      </c>
      <c r="H267" s="13" t="str">
        <f>IF(A267="","",IF(AND(Agendamento!$C$3="",Agendamento!$C$7&lt;&gt;""),IF(Agendamento!$C$7='Base de Dados'!E267,"x",""),IF(AND(Agendamento!$C$3&lt;&gt;"",Agendamento!$C$7=""),IF(Agendamento!$C$3='Base de Dados'!A267,"x",""),IF(AND(Agendamento!$C$3='Base de Dados'!A267,'Base de Dados'!E267=Agendamento!$C$7),"x",""))))</f>
        <v/>
      </c>
      <c r="I267" s="13" t="str">
        <f>IF(H267="x",COUNT($I$1:I266)+1,"")</f>
        <v/>
      </c>
    </row>
    <row r="268" spans="1:9" x14ac:dyDescent="0.25">
      <c r="A268" s="27"/>
      <c r="B268" s="28"/>
      <c r="C268" s="29"/>
      <c r="D268" s="29"/>
      <c r="E268" s="28"/>
      <c r="F268" s="13" t="str">
        <f>IF(A268="","",IF(A268=Agendamento!$C$3,"x",""))</f>
        <v/>
      </c>
      <c r="G268" s="13" t="str">
        <f>IF(A268="","",IF(E268=Agendamento!$C$7,"x",""))</f>
        <v/>
      </c>
      <c r="H268" s="13" t="str">
        <f>IF(A268="","",IF(AND(Agendamento!$C$3="",Agendamento!$C$7&lt;&gt;""),IF(Agendamento!$C$7='Base de Dados'!E268,"x",""),IF(AND(Agendamento!$C$3&lt;&gt;"",Agendamento!$C$7=""),IF(Agendamento!$C$3='Base de Dados'!A268,"x",""),IF(AND(Agendamento!$C$3='Base de Dados'!A268,'Base de Dados'!E268=Agendamento!$C$7),"x",""))))</f>
        <v/>
      </c>
      <c r="I268" s="13" t="str">
        <f>IF(H268="x",COUNT($I$1:I267)+1,"")</f>
        <v/>
      </c>
    </row>
    <row r="269" spans="1:9" x14ac:dyDescent="0.25">
      <c r="A269" s="27"/>
      <c r="B269" s="28"/>
      <c r="C269" s="29"/>
      <c r="D269" s="29"/>
      <c r="E269" s="28"/>
      <c r="F269" s="13" t="str">
        <f>IF(A269="","",IF(A269=Agendamento!$C$3,"x",""))</f>
        <v/>
      </c>
      <c r="G269" s="13" t="str">
        <f>IF(A269="","",IF(E269=Agendamento!$C$7,"x",""))</f>
        <v/>
      </c>
      <c r="H269" s="13" t="str">
        <f>IF(A269="","",IF(AND(Agendamento!$C$3="",Agendamento!$C$7&lt;&gt;""),IF(Agendamento!$C$7='Base de Dados'!E269,"x",""),IF(AND(Agendamento!$C$3&lt;&gt;"",Agendamento!$C$7=""),IF(Agendamento!$C$3='Base de Dados'!A269,"x",""),IF(AND(Agendamento!$C$3='Base de Dados'!A269,'Base de Dados'!E269=Agendamento!$C$7),"x",""))))</f>
        <v/>
      </c>
      <c r="I269" s="13" t="str">
        <f>IF(H269="x",COUNT($I$1:I268)+1,"")</f>
        <v/>
      </c>
    </row>
    <row r="270" spans="1:9" x14ac:dyDescent="0.25">
      <c r="A270" s="27"/>
      <c r="B270" s="28"/>
      <c r="C270" s="29"/>
      <c r="D270" s="29"/>
      <c r="E270" s="28"/>
      <c r="F270" s="13" t="str">
        <f>IF(A270="","",IF(A270=Agendamento!$C$3,"x",""))</f>
        <v/>
      </c>
      <c r="G270" s="13" t="str">
        <f>IF(A270="","",IF(E270=Agendamento!$C$7,"x",""))</f>
        <v/>
      </c>
      <c r="H270" s="13" t="str">
        <f>IF(A270="","",IF(AND(Agendamento!$C$3="",Agendamento!$C$7&lt;&gt;""),IF(Agendamento!$C$7='Base de Dados'!E270,"x",""),IF(AND(Agendamento!$C$3&lt;&gt;"",Agendamento!$C$7=""),IF(Agendamento!$C$3='Base de Dados'!A270,"x",""),IF(AND(Agendamento!$C$3='Base de Dados'!A270,'Base de Dados'!E270=Agendamento!$C$7),"x",""))))</f>
        <v/>
      </c>
      <c r="I270" s="13" t="str">
        <f>IF(H270="x",COUNT($I$1:I269)+1,"")</f>
        <v/>
      </c>
    </row>
    <row r="271" spans="1:9" x14ac:dyDescent="0.25">
      <c r="A271" s="27"/>
      <c r="B271" s="28"/>
      <c r="C271" s="29"/>
      <c r="D271" s="29"/>
      <c r="E271" s="28"/>
      <c r="F271" s="13" t="str">
        <f>IF(A271="","",IF(A271=Agendamento!$C$3,"x",""))</f>
        <v/>
      </c>
      <c r="G271" s="13" t="str">
        <f>IF(A271="","",IF(E271=Agendamento!$C$7,"x",""))</f>
        <v/>
      </c>
      <c r="H271" s="13" t="str">
        <f>IF(A271="","",IF(AND(Agendamento!$C$3="",Agendamento!$C$7&lt;&gt;""),IF(Agendamento!$C$7='Base de Dados'!E271,"x",""),IF(AND(Agendamento!$C$3&lt;&gt;"",Agendamento!$C$7=""),IF(Agendamento!$C$3='Base de Dados'!A271,"x",""),IF(AND(Agendamento!$C$3='Base de Dados'!A271,'Base de Dados'!E271=Agendamento!$C$7),"x",""))))</f>
        <v/>
      </c>
      <c r="I271" s="13" t="str">
        <f>IF(H271="x",COUNT($I$1:I270)+1,"")</f>
        <v/>
      </c>
    </row>
    <row r="272" spans="1:9" x14ac:dyDescent="0.25">
      <c r="A272" s="27"/>
      <c r="B272" s="28"/>
      <c r="C272" s="29"/>
      <c r="D272" s="29"/>
      <c r="E272" s="28"/>
      <c r="F272" s="13" t="str">
        <f>IF(A272="","",IF(A272=Agendamento!$C$3,"x",""))</f>
        <v/>
      </c>
      <c r="G272" s="13" t="str">
        <f>IF(A272="","",IF(E272=Agendamento!$C$7,"x",""))</f>
        <v/>
      </c>
      <c r="H272" s="13" t="str">
        <f>IF(A272="","",IF(AND(Agendamento!$C$3="",Agendamento!$C$7&lt;&gt;""),IF(Agendamento!$C$7='Base de Dados'!E272,"x",""),IF(AND(Agendamento!$C$3&lt;&gt;"",Agendamento!$C$7=""),IF(Agendamento!$C$3='Base de Dados'!A272,"x",""),IF(AND(Agendamento!$C$3='Base de Dados'!A272,'Base de Dados'!E272=Agendamento!$C$7),"x",""))))</f>
        <v/>
      </c>
      <c r="I272" s="13" t="str">
        <f>IF(H272="x",COUNT($I$1:I271)+1,"")</f>
        <v/>
      </c>
    </row>
    <row r="273" spans="1:9" x14ac:dyDescent="0.25">
      <c r="A273" s="27"/>
      <c r="B273" s="28"/>
      <c r="C273" s="29"/>
      <c r="D273" s="29"/>
      <c r="E273" s="28"/>
      <c r="F273" s="13" t="str">
        <f>IF(A273="","",IF(A273=Agendamento!$C$3,"x",""))</f>
        <v/>
      </c>
      <c r="G273" s="13" t="str">
        <f>IF(A273="","",IF(E273=Agendamento!$C$7,"x",""))</f>
        <v/>
      </c>
      <c r="H273" s="13" t="str">
        <f>IF(A273="","",IF(AND(Agendamento!$C$3="",Agendamento!$C$7&lt;&gt;""),IF(Agendamento!$C$7='Base de Dados'!E273,"x",""),IF(AND(Agendamento!$C$3&lt;&gt;"",Agendamento!$C$7=""),IF(Agendamento!$C$3='Base de Dados'!A273,"x",""),IF(AND(Agendamento!$C$3='Base de Dados'!A273,'Base de Dados'!E273=Agendamento!$C$7),"x",""))))</f>
        <v/>
      </c>
      <c r="I273" s="13" t="str">
        <f>IF(H273="x",COUNT($I$1:I272)+1,"")</f>
        <v/>
      </c>
    </row>
    <row r="274" spans="1:9" x14ac:dyDescent="0.25">
      <c r="A274" s="27"/>
      <c r="B274" s="28"/>
      <c r="C274" s="29"/>
      <c r="D274" s="29"/>
      <c r="E274" s="28"/>
      <c r="F274" s="13" t="str">
        <f>IF(A274="","",IF(A274=Agendamento!$C$3,"x",""))</f>
        <v/>
      </c>
      <c r="G274" s="13" t="str">
        <f>IF(A274="","",IF(E274=Agendamento!$C$7,"x",""))</f>
        <v/>
      </c>
      <c r="H274" s="13" t="str">
        <f>IF(A274="","",IF(AND(Agendamento!$C$3="",Agendamento!$C$7&lt;&gt;""),IF(Agendamento!$C$7='Base de Dados'!E274,"x",""),IF(AND(Agendamento!$C$3&lt;&gt;"",Agendamento!$C$7=""),IF(Agendamento!$C$3='Base de Dados'!A274,"x",""),IF(AND(Agendamento!$C$3='Base de Dados'!A274,'Base de Dados'!E274=Agendamento!$C$7),"x",""))))</f>
        <v/>
      </c>
      <c r="I274" s="13" t="str">
        <f>IF(H274="x",COUNT($I$1:I273)+1,"")</f>
        <v/>
      </c>
    </row>
    <row r="275" spans="1:9" x14ac:dyDescent="0.25">
      <c r="A275" s="27"/>
      <c r="B275" s="28"/>
      <c r="C275" s="29"/>
      <c r="D275" s="29"/>
      <c r="E275" s="28"/>
      <c r="F275" s="13" t="str">
        <f>IF(A275="","",IF(A275=Agendamento!$C$3,"x",""))</f>
        <v/>
      </c>
      <c r="G275" s="13" t="str">
        <f>IF(A275="","",IF(E275=Agendamento!$C$7,"x",""))</f>
        <v/>
      </c>
      <c r="H275" s="13" t="str">
        <f>IF(A275="","",IF(AND(Agendamento!$C$3="",Agendamento!$C$7&lt;&gt;""),IF(Agendamento!$C$7='Base de Dados'!E275,"x",""),IF(AND(Agendamento!$C$3&lt;&gt;"",Agendamento!$C$7=""),IF(Agendamento!$C$3='Base de Dados'!A275,"x",""),IF(AND(Agendamento!$C$3='Base de Dados'!A275,'Base de Dados'!E275=Agendamento!$C$7),"x",""))))</f>
        <v/>
      </c>
      <c r="I275" s="13" t="str">
        <f>IF(H275="x",COUNT($I$1:I274)+1,"")</f>
        <v/>
      </c>
    </row>
    <row r="276" spans="1:9" x14ac:dyDescent="0.25">
      <c r="A276" s="27"/>
      <c r="B276" s="28"/>
      <c r="C276" s="29"/>
      <c r="D276" s="29"/>
      <c r="E276" s="28"/>
      <c r="F276" s="13" t="str">
        <f>IF(A276="","",IF(A276=Agendamento!$C$3,"x",""))</f>
        <v/>
      </c>
      <c r="G276" s="13" t="str">
        <f>IF(A276="","",IF(E276=Agendamento!$C$7,"x",""))</f>
        <v/>
      </c>
      <c r="H276" s="13" t="str">
        <f>IF(A276="","",IF(AND(Agendamento!$C$3="",Agendamento!$C$7&lt;&gt;""),IF(Agendamento!$C$7='Base de Dados'!E276,"x",""),IF(AND(Agendamento!$C$3&lt;&gt;"",Agendamento!$C$7=""),IF(Agendamento!$C$3='Base de Dados'!A276,"x",""),IF(AND(Agendamento!$C$3='Base de Dados'!A276,'Base de Dados'!E276=Agendamento!$C$7),"x",""))))</f>
        <v/>
      </c>
      <c r="I276" s="13" t="str">
        <f>IF(H276="x",COUNT($I$1:I275)+1,"")</f>
        <v/>
      </c>
    </row>
    <row r="277" spans="1:9" x14ac:dyDescent="0.25">
      <c r="A277" s="27"/>
      <c r="B277" s="28"/>
      <c r="C277" s="29"/>
      <c r="D277" s="29"/>
      <c r="E277" s="28"/>
      <c r="F277" s="13" t="str">
        <f>IF(A277="","",IF(A277=Agendamento!$C$3,"x",""))</f>
        <v/>
      </c>
      <c r="G277" s="13" t="str">
        <f>IF(A277="","",IF(E277=Agendamento!$C$7,"x",""))</f>
        <v/>
      </c>
      <c r="H277" s="13" t="str">
        <f>IF(A277="","",IF(AND(Agendamento!$C$3="",Agendamento!$C$7&lt;&gt;""),IF(Agendamento!$C$7='Base de Dados'!E277,"x",""),IF(AND(Agendamento!$C$3&lt;&gt;"",Agendamento!$C$7=""),IF(Agendamento!$C$3='Base de Dados'!A277,"x",""),IF(AND(Agendamento!$C$3='Base de Dados'!A277,'Base de Dados'!E277=Agendamento!$C$7),"x",""))))</f>
        <v/>
      </c>
      <c r="I277" s="13" t="str">
        <f>IF(H277="x",COUNT($I$1:I276)+1,"")</f>
        <v/>
      </c>
    </row>
    <row r="278" spans="1:9" x14ac:dyDescent="0.25">
      <c r="A278" s="27"/>
      <c r="B278" s="28"/>
      <c r="C278" s="29"/>
      <c r="D278" s="29"/>
      <c r="E278" s="28"/>
      <c r="F278" s="13" t="str">
        <f>IF(A278="","",IF(A278=Agendamento!$C$3,"x",""))</f>
        <v/>
      </c>
      <c r="G278" s="13" t="str">
        <f>IF(A278="","",IF(E278=Agendamento!$C$7,"x",""))</f>
        <v/>
      </c>
      <c r="H278" s="13" t="str">
        <f>IF(A278="","",IF(AND(Agendamento!$C$3="",Agendamento!$C$7&lt;&gt;""),IF(Agendamento!$C$7='Base de Dados'!E278,"x",""),IF(AND(Agendamento!$C$3&lt;&gt;"",Agendamento!$C$7=""),IF(Agendamento!$C$3='Base de Dados'!A278,"x",""),IF(AND(Agendamento!$C$3='Base de Dados'!A278,'Base de Dados'!E278=Agendamento!$C$7),"x",""))))</f>
        <v/>
      </c>
      <c r="I278" s="13" t="str">
        <f>IF(H278="x",COUNT($I$1:I277)+1,"")</f>
        <v/>
      </c>
    </row>
    <row r="279" spans="1:9" x14ac:dyDescent="0.25">
      <c r="A279" s="27"/>
      <c r="B279" s="28"/>
      <c r="C279" s="29"/>
      <c r="D279" s="29"/>
      <c r="E279" s="28"/>
      <c r="F279" s="13" t="str">
        <f>IF(A279="","",IF(A279=Agendamento!$C$3,"x",""))</f>
        <v/>
      </c>
      <c r="G279" s="13" t="str">
        <f>IF(A279="","",IF(E279=Agendamento!$C$7,"x",""))</f>
        <v/>
      </c>
      <c r="H279" s="13" t="str">
        <f>IF(A279="","",IF(AND(Agendamento!$C$3="",Agendamento!$C$7&lt;&gt;""),IF(Agendamento!$C$7='Base de Dados'!E279,"x",""),IF(AND(Agendamento!$C$3&lt;&gt;"",Agendamento!$C$7=""),IF(Agendamento!$C$3='Base de Dados'!A279,"x",""),IF(AND(Agendamento!$C$3='Base de Dados'!A279,'Base de Dados'!E279=Agendamento!$C$7),"x",""))))</f>
        <v/>
      </c>
      <c r="I279" s="13" t="str">
        <f>IF(H279="x",COUNT($I$1:I278)+1,"")</f>
        <v/>
      </c>
    </row>
    <row r="280" spans="1:9" x14ac:dyDescent="0.25">
      <c r="A280" s="27"/>
      <c r="B280" s="28"/>
      <c r="C280" s="29"/>
      <c r="D280" s="29"/>
      <c r="E280" s="28"/>
      <c r="F280" s="13" t="str">
        <f>IF(A280="","",IF(A280=Agendamento!$C$3,"x",""))</f>
        <v/>
      </c>
      <c r="G280" s="13" t="str">
        <f>IF(A280="","",IF(E280=Agendamento!$C$7,"x",""))</f>
        <v/>
      </c>
      <c r="H280" s="13" t="str">
        <f>IF(A280="","",IF(AND(Agendamento!$C$3="",Agendamento!$C$7&lt;&gt;""),IF(Agendamento!$C$7='Base de Dados'!E280,"x",""),IF(AND(Agendamento!$C$3&lt;&gt;"",Agendamento!$C$7=""),IF(Agendamento!$C$3='Base de Dados'!A280,"x",""),IF(AND(Agendamento!$C$3='Base de Dados'!A280,'Base de Dados'!E280=Agendamento!$C$7),"x",""))))</f>
        <v/>
      </c>
      <c r="I280" s="13" t="str">
        <f>IF(H280="x",COUNT($I$1:I279)+1,"")</f>
        <v/>
      </c>
    </row>
    <row r="281" spans="1:9" x14ac:dyDescent="0.25">
      <c r="A281" s="27"/>
      <c r="B281" s="28"/>
      <c r="C281" s="29"/>
      <c r="D281" s="29"/>
      <c r="E281" s="28"/>
      <c r="F281" s="13" t="str">
        <f>IF(A281="","",IF(A281=Agendamento!$C$3,"x",""))</f>
        <v/>
      </c>
      <c r="G281" s="13" t="str">
        <f>IF(A281="","",IF(E281=Agendamento!$C$7,"x",""))</f>
        <v/>
      </c>
      <c r="H281" s="13" t="str">
        <f>IF(A281="","",IF(AND(Agendamento!$C$3="",Agendamento!$C$7&lt;&gt;""),IF(Agendamento!$C$7='Base de Dados'!E281,"x",""),IF(AND(Agendamento!$C$3&lt;&gt;"",Agendamento!$C$7=""),IF(Agendamento!$C$3='Base de Dados'!A281,"x",""),IF(AND(Agendamento!$C$3='Base de Dados'!A281,'Base de Dados'!E281=Agendamento!$C$7),"x",""))))</f>
        <v/>
      </c>
      <c r="I281" s="13" t="str">
        <f>IF(H281="x",COUNT($I$1:I280)+1,"")</f>
        <v/>
      </c>
    </row>
    <row r="282" spans="1:9" x14ac:dyDescent="0.25">
      <c r="A282" s="27"/>
      <c r="B282" s="28"/>
      <c r="C282" s="29"/>
      <c r="D282" s="29"/>
      <c r="E282" s="28"/>
      <c r="F282" s="13" t="str">
        <f>IF(A282="","",IF(A282=Agendamento!$C$3,"x",""))</f>
        <v/>
      </c>
      <c r="G282" s="13" t="str">
        <f>IF(A282="","",IF(E282=Agendamento!$C$7,"x",""))</f>
        <v/>
      </c>
      <c r="H282" s="13" t="str">
        <f>IF(A282="","",IF(AND(Agendamento!$C$3="",Agendamento!$C$7&lt;&gt;""),IF(Agendamento!$C$7='Base de Dados'!E282,"x",""),IF(AND(Agendamento!$C$3&lt;&gt;"",Agendamento!$C$7=""),IF(Agendamento!$C$3='Base de Dados'!A282,"x",""),IF(AND(Agendamento!$C$3='Base de Dados'!A282,'Base de Dados'!E282=Agendamento!$C$7),"x",""))))</f>
        <v/>
      </c>
      <c r="I282" s="13" t="str">
        <f>IF(H282="x",COUNT($I$1:I281)+1,"")</f>
        <v/>
      </c>
    </row>
    <row r="283" spans="1:9" x14ac:dyDescent="0.25">
      <c r="A283" s="27"/>
      <c r="B283" s="28"/>
      <c r="C283" s="29"/>
      <c r="D283" s="29"/>
      <c r="E283" s="28"/>
      <c r="F283" s="13" t="str">
        <f>IF(A283="","",IF(A283=Agendamento!$C$3,"x",""))</f>
        <v/>
      </c>
      <c r="G283" s="13" t="str">
        <f>IF(A283="","",IF(E283=Agendamento!$C$7,"x",""))</f>
        <v/>
      </c>
      <c r="H283" s="13" t="str">
        <f>IF(A283="","",IF(AND(Agendamento!$C$3="",Agendamento!$C$7&lt;&gt;""),IF(Agendamento!$C$7='Base de Dados'!E283,"x",""),IF(AND(Agendamento!$C$3&lt;&gt;"",Agendamento!$C$7=""),IF(Agendamento!$C$3='Base de Dados'!A283,"x",""),IF(AND(Agendamento!$C$3='Base de Dados'!A283,'Base de Dados'!E283=Agendamento!$C$7),"x",""))))</f>
        <v/>
      </c>
      <c r="I283" s="13" t="str">
        <f>IF(H283="x",COUNT($I$1:I282)+1,"")</f>
        <v/>
      </c>
    </row>
    <row r="284" spans="1:9" x14ac:dyDescent="0.25">
      <c r="A284" s="27"/>
      <c r="B284" s="28"/>
      <c r="C284" s="29"/>
      <c r="D284" s="29"/>
      <c r="E284" s="28"/>
      <c r="F284" s="13" t="str">
        <f>IF(A284="","",IF(A284=Agendamento!$C$3,"x",""))</f>
        <v/>
      </c>
      <c r="G284" s="13" t="str">
        <f>IF(A284="","",IF(E284=Agendamento!$C$7,"x",""))</f>
        <v/>
      </c>
      <c r="H284" s="13" t="str">
        <f>IF(A284="","",IF(AND(Agendamento!$C$3="",Agendamento!$C$7&lt;&gt;""),IF(Agendamento!$C$7='Base de Dados'!E284,"x",""),IF(AND(Agendamento!$C$3&lt;&gt;"",Agendamento!$C$7=""),IF(Agendamento!$C$3='Base de Dados'!A284,"x",""),IF(AND(Agendamento!$C$3='Base de Dados'!A284,'Base de Dados'!E284=Agendamento!$C$7),"x",""))))</f>
        <v/>
      </c>
      <c r="I284" s="13" t="str">
        <f>IF(H284="x",COUNT($I$1:I283)+1,"")</f>
        <v/>
      </c>
    </row>
    <row r="285" spans="1:9" x14ac:dyDescent="0.25">
      <c r="A285" s="27"/>
      <c r="B285" s="28"/>
      <c r="C285" s="29"/>
      <c r="D285" s="29"/>
      <c r="E285" s="28"/>
      <c r="F285" s="13" t="str">
        <f>IF(A285="","",IF(A285=Agendamento!$C$3,"x",""))</f>
        <v/>
      </c>
      <c r="G285" s="13" t="str">
        <f>IF(A285="","",IF(E285=Agendamento!$C$7,"x",""))</f>
        <v/>
      </c>
      <c r="H285" s="13" t="str">
        <f>IF(A285="","",IF(AND(Agendamento!$C$3="",Agendamento!$C$7&lt;&gt;""),IF(Agendamento!$C$7='Base de Dados'!E285,"x",""),IF(AND(Agendamento!$C$3&lt;&gt;"",Agendamento!$C$7=""),IF(Agendamento!$C$3='Base de Dados'!A285,"x",""),IF(AND(Agendamento!$C$3='Base de Dados'!A285,'Base de Dados'!E285=Agendamento!$C$7),"x",""))))</f>
        <v/>
      </c>
      <c r="I285" s="13" t="str">
        <f>IF(H285="x",COUNT($I$1:I284)+1,"")</f>
        <v/>
      </c>
    </row>
    <row r="286" spans="1:9" x14ac:dyDescent="0.25">
      <c r="A286" s="27"/>
      <c r="B286" s="28"/>
      <c r="C286" s="29"/>
      <c r="D286" s="29"/>
      <c r="E286" s="28"/>
      <c r="F286" s="13" t="str">
        <f>IF(A286="","",IF(A286=Agendamento!$C$3,"x",""))</f>
        <v/>
      </c>
      <c r="G286" s="13" t="str">
        <f>IF(A286="","",IF(E286=Agendamento!$C$7,"x",""))</f>
        <v/>
      </c>
      <c r="H286" s="13" t="str">
        <f>IF(A286="","",IF(AND(Agendamento!$C$3="",Agendamento!$C$7&lt;&gt;""),IF(Agendamento!$C$7='Base de Dados'!E286,"x",""),IF(AND(Agendamento!$C$3&lt;&gt;"",Agendamento!$C$7=""),IF(Agendamento!$C$3='Base de Dados'!A286,"x",""),IF(AND(Agendamento!$C$3='Base de Dados'!A286,'Base de Dados'!E286=Agendamento!$C$7),"x",""))))</f>
        <v/>
      </c>
      <c r="I286" s="13" t="str">
        <f>IF(H286="x",COUNT($I$1:I285)+1,"")</f>
        <v/>
      </c>
    </row>
    <row r="287" spans="1:9" x14ac:dyDescent="0.25">
      <c r="A287" s="27"/>
      <c r="B287" s="28"/>
      <c r="C287" s="29"/>
      <c r="D287" s="29"/>
      <c r="E287" s="28"/>
      <c r="F287" s="13" t="str">
        <f>IF(A287="","",IF(A287=Agendamento!$C$3,"x",""))</f>
        <v/>
      </c>
      <c r="G287" s="13" t="str">
        <f>IF(A287="","",IF(E287=Agendamento!$C$7,"x",""))</f>
        <v/>
      </c>
      <c r="H287" s="13" t="str">
        <f>IF(A287="","",IF(AND(Agendamento!$C$3="",Agendamento!$C$7&lt;&gt;""),IF(Agendamento!$C$7='Base de Dados'!E287,"x",""),IF(AND(Agendamento!$C$3&lt;&gt;"",Agendamento!$C$7=""),IF(Agendamento!$C$3='Base de Dados'!A287,"x",""),IF(AND(Agendamento!$C$3='Base de Dados'!A287,'Base de Dados'!E287=Agendamento!$C$7),"x",""))))</f>
        <v/>
      </c>
      <c r="I287" s="13" t="str">
        <f>IF(H287="x",COUNT($I$1:I286)+1,"")</f>
        <v/>
      </c>
    </row>
    <row r="288" spans="1:9" x14ac:dyDescent="0.25">
      <c r="A288" s="27"/>
      <c r="B288" s="28"/>
      <c r="C288" s="29"/>
      <c r="D288" s="29"/>
      <c r="E288" s="28"/>
      <c r="F288" s="13" t="str">
        <f>IF(A288="","",IF(A288=Agendamento!$C$3,"x",""))</f>
        <v/>
      </c>
      <c r="G288" s="13" t="str">
        <f>IF(A288="","",IF(E288=Agendamento!$C$7,"x",""))</f>
        <v/>
      </c>
      <c r="H288" s="13" t="str">
        <f>IF(A288="","",IF(AND(Agendamento!$C$3="",Agendamento!$C$7&lt;&gt;""),IF(Agendamento!$C$7='Base de Dados'!E288,"x",""),IF(AND(Agendamento!$C$3&lt;&gt;"",Agendamento!$C$7=""),IF(Agendamento!$C$3='Base de Dados'!A288,"x",""),IF(AND(Agendamento!$C$3='Base de Dados'!A288,'Base de Dados'!E288=Agendamento!$C$7),"x",""))))</f>
        <v/>
      </c>
      <c r="I288" s="13" t="str">
        <f>IF(H288="x",COUNT($I$1:I287)+1,"")</f>
        <v/>
      </c>
    </row>
    <row r="289" spans="1:9" x14ac:dyDescent="0.25">
      <c r="A289" s="27"/>
      <c r="B289" s="28"/>
      <c r="C289" s="29"/>
      <c r="D289" s="29"/>
      <c r="E289" s="28"/>
      <c r="F289" s="13" t="str">
        <f>IF(A289="","",IF(A289=Agendamento!$C$3,"x",""))</f>
        <v/>
      </c>
      <c r="G289" s="13" t="str">
        <f>IF(A289="","",IF(E289=Agendamento!$C$7,"x",""))</f>
        <v/>
      </c>
      <c r="H289" s="13" t="str">
        <f>IF(A289="","",IF(AND(Agendamento!$C$3="",Agendamento!$C$7&lt;&gt;""),IF(Agendamento!$C$7='Base de Dados'!E289,"x",""),IF(AND(Agendamento!$C$3&lt;&gt;"",Agendamento!$C$7=""),IF(Agendamento!$C$3='Base de Dados'!A289,"x",""),IF(AND(Agendamento!$C$3='Base de Dados'!A289,'Base de Dados'!E289=Agendamento!$C$7),"x",""))))</f>
        <v/>
      </c>
      <c r="I289" s="13" t="str">
        <f>IF(H289="x",COUNT($I$1:I288)+1,"")</f>
        <v/>
      </c>
    </row>
    <row r="290" spans="1:9" x14ac:dyDescent="0.25">
      <c r="A290" s="27"/>
      <c r="B290" s="28"/>
      <c r="C290" s="29"/>
      <c r="D290" s="29"/>
      <c r="E290" s="28"/>
      <c r="F290" s="13" t="str">
        <f>IF(A290="","",IF(A290=Agendamento!$C$3,"x",""))</f>
        <v/>
      </c>
      <c r="G290" s="13" t="str">
        <f>IF(A290="","",IF(E290=Agendamento!$C$7,"x",""))</f>
        <v/>
      </c>
      <c r="H290" s="13" t="str">
        <f>IF(A290="","",IF(AND(Agendamento!$C$3="",Agendamento!$C$7&lt;&gt;""),IF(Agendamento!$C$7='Base de Dados'!E290,"x",""),IF(AND(Agendamento!$C$3&lt;&gt;"",Agendamento!$C$7=""),IF(Agendamento!$C$3='Base de Dados'!A290,"x",""),IF(AND(Agendamento!$C$3='Base de Dados'!A290,'Base de Dados'!E290=Agendamento!$C$7),"x",""))))</f>
        <v/>
      </c>
      <c r="I290" s="13" t="str">
        <f>IF(H290="x",COUNT($I$1:I289)+1,"")</f>
        <v/>
      </c>
    </row>
    <row r="291" spans="1:9" x14ac:dyDescent="0.25">
      <c r="A291" s="27"/>
      <c r="B291" s="28"/>
      <c r="C291" s="29"/>
      <c r="D291" s="29"/>
      <c r="E291" s="28"/>
      <c r="F291" s="13" t="str">
        <f>IF(A291="","",IF(A291=Agendamento!$C$3,"x",""))</f>
        <v/>
      </c>
      <c r="G291" s="13" t="str">
        <f>IF(A291="","",IF(E291=Agendamento!$C$7,"x",""))</f>
        <v/>
      </c>
      <c r="H291" s="13" t="str">
        <f>IF(A291="","",IF(AND(Agendamento!$C$3="",Agendamento!$C$7&lt;&gt;""),IF(Agendamento!$C$7='Base de Dados'!E291,"x",""),IF(AND(Agendamento!$C$3&lt;&gt;"",Agendamento!$C$7=""),IF(Agendamento!$C$3='Base de Dados'!A291,"x",""),IF(AND(Agendamento!$C$3='Base de Dados'!A291,'Base de Dados'!E291=Agendamento!$C$7),"x",""))))</f>
        <v/>
      </c>
      <c r="I291" s="13" t="str">
        <f>IF(H291="x",COUNT($I$1:I290)+1,"")</f>
        <v/>
      </c>
    </row>
    <row r="292" spans="1:9" x14ac:dyDescent="0.25">
      <c r="A292" s="27"/>
      <c r="B292" s="28"/>
      <c r="C292" s="29"/>
      <c r="D292" s="29"/>
      <c r="E292" s="28"/>
      <c r="F292" s="13" t="str">
        <f>IF(A292="","",IF(A292=Agendamento!$C$3,"x",""))</f>
        <v/>
      </c>
      <c r="G292" s="13" t="str">
        <f>IF(A292="","",IF(E292=Agendamento!$C$7,"x",""))</f>
        <v/>
      </c>
      <c r="H292" s="13" t="str">
        <f>IF(A292="","",IF(AND(Agendamento!$C$3="",Agendamento!$C$7&lt;&gt;""),IF(Agendamento!$C$7='Base de Dados'!E292,"x",""),IF(AND(Agendamento!$C$3&lt;&gt;"",Agendamento!$C$7=""),IF(Agendamento!$C$3='Base de Dados'!A292,"x",""),IF(AND(Agendamento!$C$3='Base de Dados'!A292,'Base de Dados'!E292=Agendamento!$C$7),"x",""))))</f>
        <v/>
      </c>
      <c r="I292" s="13" t="str">
        <f>IF(H292="x",COUNT($I$1:I291)+1,"")</f>
        <v/>
      </c>
    </row>
    <row r="293" spans="1:9" x14ac:dyDescent="0.25">
      <c r="A293" s="27"/>
      <c r="B293" s="28"/>
      <c r="C293" s="29"/>
      <c r="D293" s="29"/>
      <c r="E293" s="28"/>
      <c r="F293" s="13" t="str">
        <f>IF(A293="","",IF(A293=Agendamento!$C$3,"x",""))</f>
        <v/>
      </c>
      <c r="G293" s="13" t="str">
        <f>IF(A293="","",IF(E293=Agendamento!$C$7,"x",""))</f>
        <v/>
      </c>
      <c r="H293" s="13" t="str">
        <f>IF(A293="","",IF(AND(Agendamento!$C$3="",Agendamento!$C$7&lt;&gt;""),IF(Agendamento!$C$7='Base de Dados'!E293,"x",""),IF(AND(Agendamento!$C$3&lt;&gt;"",Agendamento!$C$7=""),IF(Agendamento!$C$3='Base de Dados'!A293,"x",""),IF(AND(Agendamento!$C$3='Base de Dados'!A293,'Base de Dados'!E293=Agendamento!$C$7),"x",""))))</f>
        <v/>
      </c>
      <c r="I293" s="13" t="str">
        <f>IF(H293="x",COUNT($I$1:I292)+1,"")</f>
        <v/>
      </c>
    </row>
    <row r="294" spans="1:9" x14ac:dyDescent="0.25">
      <c r="A294" s="27"/>
      <c r="B294" s="28"/>
      <c r="C294" s="29"/>
      <c r="D294" s="29"/>
      <c r="E294" s="28"/>
      <c r="F294" s="13" t="str">
        <f>IF(A294="","",IF(A294=Agendamento!$C$3,"x",""))</f>
        <v/>
      </c>
      <c r="G294" s="13" t="str">
        <f>IF(A294="","",IF(E294=Agendamento!$C$7,"x",""))</f>
        <v/>
      </c>
      <c r="H294" s="13" t="str">
        <f>IF(A294="","",IF(AND(Agendamento!$C$3="",Agendamento!$C$7&lt;&gt;""),IF(Agendamento!$C$7='Base de Dados'!E294,"x",""),IF(AND(Agendamento!$C$3&lt;&gt;"",Agendamento!$C$7=""),IF(Agendamento!$C$3='Base de Dados'!A294,"x",""),IF(AND(Agendamento!$C$3='Base de Dados'!A294,'Base de Dados'!E294=Agendamento!$C$7),"x",""))))</f>
        <v/>
      </c>
      <c r="I294" s="13" t="str">
        <f>IF(H294="x",COUNT($I$1:I293)+1,"")</f>
        <v/>
      </c>
    </row>
    <row r="295" spans="1:9" x14ac:dyDescent="0.25">
      <c r="A295" s="27"/>
      <c r="B295" s="28"/>
      <c r="C295" s="29"/>
      <c r="D295" s="29"/>
      <c r="E295" s="28"/>
      <c r="F295" s="13" t="str">
        <f>IF(A295="","",IF(A295=Agendamento!$C$3,"x",""))</f>
        <v/>
      </c>
      <c r="G295" s="13" t="str">
        <f>IF(A295="","",IF(E295=Agendamento!$C$7,"x",""))</f>
        <v/>
      </c>
      <c r="H295" s="13" t="str">
        <f>IF(A295="","",IF(AND(Agendamento!$C$3="",Agendamento!$C$7&lt;&gt;""),IF(Agendamento!$C$7='Base de Dados'!E295,"x",""),IF(AND(Agendamento!$C$3&lt;&gt;"",Agendamento!$C$7=""),IF(Agendamento!$C$3='Base de Dados'!A295,"x",""),IF(AND(Agendamento!$C$3='Base de Dados'!A295,'Base de Dados'!E295=Agendamento!$C$7),"x",""))))</f>
        <v/>
      </c>
      <c r="I295" s="13" t="str">
        <f>IF(H295="x",COUNT($I$1:I294)+1,"")</f>
        <v/>
      </c>
    </row>
    <row r="296" spans="1:9" x14ac:dyDescent="0.25">
      <c r="A296" s="27"/>
      <c r="B296" s="28"/>
      <c r="C296" s="29"/>
      <c r="D296" s="29"/>
      <c r="E296" s="28"/>
      <c r="F296" s="13" t="str">
        <f>IF(A296="","",IF(A296=Agendamento!$C$3,"x",""))</f>
        <v/>
      </c>
      <c r="G296" s="13" t="str">
        <f>IF(A296="","",IF(E296=Agendamento!$C$7,"x",""))</f>
        <v/>
      </c>
      <c r="H296" s="13" t="str">
        <f>IF(A296="","",IF(AND(Agendamento!$C$3="",Agendamento!$C$7&lt;&gt;""),IF(Agendamento!$C$7='Base de Dados'!E296,"x",""),IF(AND(Agendamento!$C$3&lt;&gt;"",Agendamento!$C$7=""),IF(Agendamento!$C$3='Base de Dados'!A296,"x",""),IF(AND(Agendamento!$C$3='Base de Dados'!A296,'Base de Dados'!E296=Agendamento!$C$7),"x",""))))</f>
        <v/>
      </c>
      <c r="I296" s="13" t="str">
        <f>IF(H296="x",COUNT($I$1:I295)+1,"")</f>
        <v/>
      </c>
    </row>
    <row r="297" spans="1:9" x14ac:dyDescent="0.25">
      <c r="A297" s="27"/>
      <c r="B297" s="28"/>
      <c r="C297" s="29"/>
      <c r="D297" s="29"/>
      <c r="E297" s="28"/>
      <c r="F297" s="13" t="str">
        <f>IF(A297="","",IF(A297=Agendamento!$C$3,"x",""))</f>
        <v/>
      </c>
      <c r="G297" s="13" t="str">
        <f>IF(A297="","",IF(E297=Agendamento!$C$7,"x",""))</f>
        <v/>
      </c>
      <c r="H297" s="13" t="str">
        <f>IF(A297="","",IF(AND(Agendamento!$C$3="",Agendamento!$C$7&lt;&gt;""),IF(Agendamento!$C$7='Base de Dados'!E297,"x",""),IF(AND(Agendamento!$C$3&lt;&gt;"",Agendamento!$C$7=""),IF(Agendamento!$C$3='Base de Dados'!A297,"x",""),IF(AND(Agendamento!$C$3='Base de Dados'!A297,'Base de Dados'!E297=Agendamento!$C$7),"x",""))))</f>
        <v/>
      </c>
      <c r="I297" s="13" t="str">
        <f>IF(H297="x",COUNT($I$1:I296)+1,"")</f>
        <v/>
      </c>
    </row>
    <row r="298" spans="1:9" x14ac:dyDescent="0.25">
      <c r="A298" s="27"/>
      <c r="B298" s="28"/>
      <c r="C298" s="29"/>
      <c r="D298" s="29"/>
      <c r="E298" s="28"/>
      <c r="F298" s="13" t="str">
        <f>IF(A298="","",IF(A298=Agendamento!$C$3,"x",""))</f>
        <v/>
      </c>
      <c r="G298" s="13" t="str">
        <f>IF(A298="","",IF(E298=Agendamento!$C$7,"x",""))</f>
        <v/>
      </c>
      <c r="H298" s="13" t="str">
        <f>IF(A298="","",IF(AND(Agendamento!$C$3="",Agendamento!$C$7&lt;&gt;""),IF(Agendamento!$C$7='Base de Dados'!E298,"x",""),IF(AND(Agendamento!$C$3&lt;&gt;"",Agendamento!$C$7=""),IF(Agendamento!$C$3='Base de Dados'!A298,"x",""),IF(AND(Agendamento!$C$3='Base de Dados'!A298,'Base de Dados'!E298=Agendamento!$C$7),"x",""))))</f>
        <v/>
      </c>
      <c r="I298" s="13" t="str">
        <f>IF(H298="x",COUNT($I$1:I297)+1,"")</f>
        <v/>
      </c>
    </row>
    <row r="299" spans="1:9" x14ac:dyDescent="0.25">
      <c r="A299" s="27"/>
      <c r="B299" s="28"/>
      <c r="C299" s="29"/>
      <c r="D299" s="29"/>
      <c r="E299" s="28"/>
      <c r="F299" s="13" t="str">
        <f>IF(A299="","",IF(A299=Agendamento!$C$3,"x",""))</f>
        <v/>
      </c>
      <c r="G299" s="13" t="str">
        <f>IF(A299="","",IF(E299=Agendamento!$C$7,"x",""))</f>
        <v/>
      </c>
      <c r="H299" s="13" t="str">
        <f>IF(A299="","",IF(AND(Agendamento!$C$3="",Agendamento!$C$7&lt;&gt;""),IF(Agendamento!$C$7='Base de Dados'!E299,"x",""),IF(AND(Agendamento!$C$3&lt;&gt;"",Agendamento!$C$7=""),IF(Agendamento!$C$3='Base de Dados'!A299,"x",""),IF(AND(Agendamento!$C$3='Base de Dados'!A299,'Base de Dados'!E299=Agendamento!$C$7),"x",""))))</f>
        <v/>
      </c>
      <c r="I299" s="13" t="str">
        <f>IF(H299="x",COUNT($I$1:I298)+1,"")</f>
        <v/>
      </c>
    </row>
    <row r="300" spans="1:9" x14ac:dyDescent="0.25">
      <c r="A300" s="27"/>
      <c r="B300" s="28"/>
      <c r="C300" s="29"/>
      <c r="D300" s="29"/>
      <c r="E300" s="28"/>
      <c r="F300" s="13" t="str">
        <f>IF(A300="","",IF(A300=Agendamento!$C$3,"x",""))</f>
        <v/>
      </c>
      <c r="G300" s="13" t="str">
        <f>IF(A300="","",IF(E300=Agendamento!$C$7,"x",""))</f>
        <v/>
      </c>
      <c r="H300" s="13" t="str">
        <f>IF(A300="","",IF(AND(Agendamento!$C$3="",Agendamento!$C$7&lt;&gt;""),IF(Agendamento!$C$7='Base de Dados'!E300,"x",""),IF(AND(Agendamento!$C$3&lt;&gt;"",Agendamento!$C$7=""),IF(Agendamento!$C$3='Base de Dados'!A300,"x",""),IF(AND(Agendamento!$C$3='Base de Dados'!A300,'Base de Dados'!E300=Agendamento!$C$7),"x",""))))</f>
        <v/>
      </c>
      <c r="I300" s="13" t="str">
        <f>IF(H300="x",COUNT($I$1:I299)+1,"")</f>
        <v/>
      </c>
    </row>
    <row r="301" spans="1:9" x14ac:dyDescent="0.25">
      <c r="A301" s="27"/>
      <c r="B301" s="28"/>
      <c r="C301" s="29"/>
      <c r="D301" s="29"/>
      <c r="E301" s="28"/>
      <c r="F301" s="13" t="str">
        <f>IF(A301="","",IF(A301=Agendamento!$C$3,"x",""))</f>
        <v/>
      </c>
      <c r="G301" s="13" t="str">
        <f>IF(A301="","",IF(E301=Agendamento!$C$7,"x",""))</f>
        <v/>
      </c>
      <c r="H301" s="13" t="str">
        <f>IF(A301="","",IF(AND(Agendamento!$C$3="",Agendamento!$C$7&lt;&gt;""),IF(Agendamento!$C$7='Base de Dados'!E301,"x",""),IF(AND(Agendamento!$C$3&lt;&gt;"",Agendamento!$C$7=""),IF(Agendamento!$C$3='Base de Dados'!A301,"x",""),IF(AND(Agendamento!$C$3='Base de Dados'!A301,'Base de Dados'!E301=Agendamento!$C$7),"x",""))))</f>
        <v/>
      </c>
      <c r="I301" s="13" t="str">
        <f>IF(H301="x",COUNT($I$1:I300)+1,"")</f>
        <v/>
      </c>
    </row>
    <row r="302" spans="1:9" x14ac:dyDescent="0.25">
      <c r="A302" s="27"/>
      <c r="B302" s="28"/>
      <c r="C302" s="29"/>
      <c r="D302" s="29"/>
      <c r="E302" s="28"/>
      <c r="F302" s="13" t="str">
        <f>IF(A302="","",IF(A302=Agendamento!$C$3,"x",""))</f>
        <v/>
      </c>
      <c r="G302" s="13" t="str">
        <f>IF(A302="","",IF(E302=Agendamento!$C$7,"x",""))</f>
        <v/>
      </c>
      <c r="H302" s="13" t="str">
        <f>IF(A302="","",IF(AND(Agendamento!$C$3="",Agendamento!$C$7&lt;&gt;""),IF(Agendamento!$C$7='Base de Dados'!E302,"x",""),IF(AND(Agendamento!$C$3&lt;&gt;"",Agendamento!$C$7=""),IF(Agendamento!$C$3='Base de Dados'!A302,"x",""),IF(AND(Agendamento!$C$3='Base de Dados'!A302,'Base de Dados'!E302=Agendamento!$C$7),"x",""))))</f>
        <v/>
      </c>
      <c r="I302" s="13" t="str">
        <f>IF(H302="x",COUNT($I$1:I301)+1,"")</f>
        <v/>
      </c>
    </row>
    <row r="303" spans="1:9" x14ac:dyDescent="0.25">
      <c r="A303" s="27"/>
      <c r="B303" s="28"/>
      <c r="C303" s="29"/>
      <c r="D303" s="29"/>
      <c r="E303" s="28"/>
      <c r="F303" s="13" t="str">
        <f>IF(A303="","",IF(A303=Agendamento!$C$3,"x",""))</f>
        <v/>
      </c>
      <c r="G303" s="13" t="str">
        <f>IF(A303="","",IF(E303=Agendamento!$C$7,"x",""))</f>
        <v/>
      </c>
      <c r="H303" s="13" t="str">
        <f>IF(A303="","",IF(AND(Agendamento!$C$3="",Agendamento!$C$7&lt;&gt;""),IF(Agendamento!$C$7='Base de Dados'!E303,"x",""),IF(AND(Agendamento!$C$3&lt;&gt;"",Agendamento!$C$7=""),IF(Agendamento!$C$3='Base de Dados'!A303,"x",""),IF(AND(Agendamento!$C$3='Base de Dados'!A303,'Base de Dados'!E303=Agendamento!$C$7),"x",""))))</f>
        <v/>
      </c>
      <c r="I303" s="13" t="str">
        <f>IF(H303="x",COUNT($I$1:I302)+1,"")</f>
        <v/>
      </c>
    </row>
    <row r="304" spans="1:9" x14ac:dyDescent="0.25">
      <c r="A304" s="27"/>
      <c r="B304" s="28"/>
      <c r="C304" s="29"/>
      <c r="D304" s="29"/>
      <c r="E304" s="28"/>
      <c r="F304" s="13" t="str">
        <f>IF(A304="","",IF(A304=Agendamento!$C$3,"x",""))</f>
        <v/>
      </c>
      <c r="G304" s="13" t="str">
        <f>IF(A304="","",IF(E304=Agendamento!$C$7,"x",""))</f>
        <v/>
      </c>
      <c r="H304" s="13" t="str">
        <f>IF(A304="","",IF(AND(Agendamento!$C$3="",Agendamento!$C$7&lt;&gt;""),IF(Agendamento!$C$7='Base de Dados'!E304,"x",""),IF(AND(Agendamento!$C$3&lt;&gt;"",Agendamento!$C$7=""),IF(Agendamento!$C$3='Base de Dados'!A304,"x",""),IF(AND(Agendamento!$C$3='Base de Dados'!A304,'Base de Dados'!E304=Agendamento!$C$7),"x",""))))</f>
        <v/>
      </c>
      <c r="I304" s="13" t="str">
        <f>IF(H304="x",COUNT($I$1:I303)+1,"")</f>
        <v/>
      </c>
    </row>
    <row r="305" spans="1:9" x14ac:dyDescent="0.25">
      <c r="A305" s="27"/>
      <c r="B305" s="28"/>
      <c r="C305" s="29"/>
      <c r="D305" s="29"/>
      <c r="E305" s="28"/>
      <c r="F305" s="13" t="str">
        <f>IF(A305="","",IF(A305=Agendamento!$C$3,"x",""))</f>
        <v/>
      </c>
      <c r="G305" s="13" t="str">
        <f>IF(A305="","",IF(E305=Agendamento!$C$7,"x",""))</f>
        <v/>
      </c>
      <c r="H305" s="13" t="str">
        <f>IF(A305="","",IF(AND(Agendamento!$C$3="",Agendamento!$C$7&lt;&gt;""),IF(Agendamento!$C$7='Base de Dados'!E305,"x",""),IF(AND(Agendamento!$C$3&lt;&gt;"",Agendamento!$C$7=""),IF(Agendamento!$C$3='Base de Dados'!A305,"x",""),IF(AND(Agendamento!$C$3='Base de Dados'!A305,'Base de Dados'!E305=Agendamento!$C$7),"x",""))))</f>
        <v/>
      </c>
      <c r="I305" s="13" t="str">
        <f>IF(H305="x",COUNT($I$1:I304)+1,"")</f>
        <v/>
      </c>
    </row>
    <row r="306" spans="1:9" x14ac:dyDescent="0.25">
      <c r="A306" s="27"/>
      <c r="B306" s="28"/>
      <c r="C306" s="29"/>
      <c r="D306" s="29"/>
      <c r="E306" s="28"/>
      <c r="F306" s="13" t="str">
        <f>IF(A306="","",IF(A306=Agendamento!$C$3,"x",""))</f>
        <v/>
      </c>
      <c r="G306" s="13" t="str">
        <f>IF(A306="","",IF(E306=Agendamento!$C$7,"x",""))</f>
        <v/>
      </c>
      <c r="H306" s="13" t="str">
        <f>IF(A306="","",IF(AND(Agendamento!$C$3="",Agendamento!$C$7&lt;&gt;""),IF(Agendamento!$C$7='Base de Dados'!E306,"x",""),IF(AND(Agendamento!$C$3&lt;&gt;"",Agendamento!$C$7=""),IF(Agendamento!$C$3='Base de Dados'!A306,"x",""),IF(AND(Agendamento!$C$3='Base de Dados'!A306,'Base de Dados'!E306=Agendamento!$C$7),"x",""))))</f>
        <v/>
      </c>
      <c r="I306" s="13" t="str">
        <f>IF(H306="x",COUNT($I$1:I305)+1,"")</f>
        <v/>
      </c>
    </row>
    <row r="307" spans="1:9" x14ac:dyDescent="0.25">
      <c r="A307" s="27"/>
      <c r="B307" s="28"/>
      <c r="C307" s="29"/>
      <c r="D307" s="29"/>
      <c r="E307" s="28"/>
      <c r="F307" s="13" t="str">
        <f>IF(A307="","",IF(A307=Agendamento!$C$3,"x",""))</f>
        <v/>
      </c>
      <c r="G307" s="13" t="str">
        <f>IF(A307="","",IF(E307=Agendamento!$C$7,"x",""))</f>
        <v/>
      </c>
      <c r="H307" s="13" t="str">
        <f>IF(A307="","",IF(AND(Agendamento!$C$3="",Agendamento!$C$7&lt;&gt;""),IF(Agendamento!$C$7='Base de Dados'!E307,"x",""),IF(AND(Agendamento!$C$3&lt;&gt;"",Agendamento!$C$7=""),IF(Agendamento!$C$3='Base de Dados'!A307,"x",""),IF(AND(Agendamento!$C$3='Base de Dados'!A307,'Base de Dados'!E307=Agendamento!$C$7),"x",""))))</f>
        <v/>
      </c>
      <c r="I307" s="13" t="str">
        <f>IF(H307="x",COUNT($I$1:I306)+1,"")</f>
        <v/>
      </c>
    </row>
    <row r="308" spans="1:9" x14ac:dyDescent="0.25">
      <c r="A308" s="27"/>
      <c r="B308" s="28"/>
      <c r="C308" s="29"/>
      <c r="D308" s="29"/>
      <c r="E308" s="28"/>
      <c r="F308" s="13" t="str">
        <f>IF(A308="","",IF(A308=Agendamento!$C$3,"x",""))</f>
        <v/>
      </c>
      <c r="G308" s="13" t="str">
        <f>IF(A308="","",IF(E308=Agendamento!$C$7,"x",""))</f>
        <v/>
      </c>
      <c r="H308" s="13" t="str">
        <f>IF(A308="","",IF(AND(Agendamento!$C$3="",Agendamento!$C$7&lt;&gt;""),IF(Agendamento!$C$7='Base de Dados'!E308,"x",""),IF(AND(Agendamento!$C$3&lt;&gt;"",Agendamento!$C$7=""),IF(Agendamento!$C$3='Base de Dados'!A308,"x",""),IF(AND(Agendamento!$C$3='Base de Dados'!A308,'Base de Dados'!E308=Agendamento!$C$7),"x",""))))</f>
        <v/>
      </c>
      <c r="I308" s="13" t="str">
        <f>IF(H308="x",COUNT($I$1:I307)+1,"")</f>
        <v/>
      </c>
    </row>
    <row r="309" spans="1:9" x14ac:dyDescent="0.25">
      <c r="A309" s="27"/>
      <c r="B309" s="28"/>
      <c r="C309" s="29"/>
      <c r="D309" s="29"/>
      <c r="E309" s="28"/>
      <c r="F309" s="13" t="str">
        <f>IF(A309="","",IF(A309=Agendamento!$C$3,"x",""))</f>
        <v/>
      </c>
      <c r="G309" s="13" t="str">
        <f>IF(A309="","",IF(E309=Agendamento!$C$7,"x",""))</f>
        <v/>
      </c>
      <c r="H309" s="13" t="str">
        <f>IF(A309="","",IF(AND(Agendamento!$C$3="",Agendamento!$C$7&lt;&gt;""),IF(Agendamento!$C$7='Base de Dados'!E309,"x",""),IF(AND(Agendamento!$C$3&lt;&gt;"",Agendamento!$C$7=""),IF(Agendamento!$C$3='Base de Dados'!A309,"x",""),IF(AND(Agendamento!$C$3='Base de Dados'!A309,'Base de Dados'!E309=Agendamento!$C$7),"x",""))))</f>
        <v/>
      </c>
      <c r="I309" s="13" t="str">
        <f>IF(H309="x",COUNT($I$1:I308)+1,"")</f>
        <v/>
      </c>
    </row>
    <row r="310" spans="1:9" x14ac:dyDescent="0.25">
      <c r="A310" s="27"/>
      <c r="B310" s="28"/>
      <c r="C310" s="29"/>
      <c r="D310" s="29"/>
      <c r="E310" s="28"/>
      <c r="F310" s="13" t="str">
        <f>IF(A310="","",IF(A310=Agendamento!$C$3,"x",""))</f>
        <v/>
      </c>
      <c r="G310" s="13" t="str">
        <f>IF(A310="","",IF(E310=Agendamento!$C$7,"x",""))</f>
        <v/>
      </c>
      <c r="H310" s="13" t="str">
        <f>IF(A310="","",IF(AND(Agendamento!$C$3="",Agendamento!$C$7&lt;&gt;""),IF(Agendamento!$C$7='Base de Dados'!E310,"x",""),IF(AND(Agendamento!$C$3&lt;&gt;"",Agendamento!$C$7=""),IF(Agendamento!$C$3='Base de Dados'!A310,"x",""),IF(AND(Agendamento!$C$3='Base de Dados'!A310,'Base de Dados'!E310=Agendamento!$C$7),"x",""))))</f>
        <v/>
      </c>
      <c r="I310" s="13" t="str">
        <f>IF(H310="x",COUNT($I$1:I309)+1,"")</f>
        <v/>
      </c>
    </row>
    <row r="311" spans="1:9" x14ac:dyDescent="0.25">
      <c r="A311" s="27"/>
      <c r="B311" s="28"/>
      <c r="C311" s="29"/>
      <c r="D311" s="29"/>
      <c r="E311" s="28"/>
      <c r="F311" s="13" t="str">
        <f>IF(A311="","",IF(A311=Agendamento!$C$3,"x",""))</f>
        <v/>
      </c>
      <c r="G311" s="13" t="str">
        <f>IF(A311="","",IF(E311=Agendamento!$C$7,"x",""))</f>
        <v/>
      </c>
      <c r="H311" s="13" t="str">
        <f>IF(A311="","",IF(AND(Agendamento!$C$3="",Agendamento!$C$7&lt;&gt;""),IF(Agendamento!$C$7='Base de Dados'!E311,"x",""),IF(AND(Agendamento!$C$3&lt;&gt;"",Agendamento!$C$7=""),IF(Agendamento!$C$3='Base de Dados'!A311,"x",""),IF(AND(Agendamento!$C$3='Base de Dados'!A311,'Base de Dados'!E311=Agendamento!$C$7),"x",""))))</f>
        <v/>
      </c>
      <c r="I311" s="13" t="str">
        <f>IF(H311="x",COUNT($I$1:I310)+1,"")</f>
        <v/>
      </c>
    </row>
    <row r="312" spans="1:9" x14ac:dyDescent="0.25">
      <c r="A312" s="27"/>
      <c r="B312" s="28"/>
      <c r="C312" s="29"/>
      <c r="D312" s="29"/>
      <c r="E312" s="28"/>
      <c r="F312" s="13" t="str">
        <f>IF(A312="","",IF(A312=Agendamento!$C$3,"x",""))</f>
        <v/>
      </c>
      <c r="G312" s="13" t="str">
        <f>IF(A312="","",IF(E312=Agendamento!$C$7,"x",""))</f>
        <v/>
      </c>
      <c r="H312" s="13" t="str">
        <f>IF(A312="","",IF(AND(Agendamento!$C$3="",Agendamento!$C$7&lt;&gt;""),IF(Agendamento!$C$7='Base de Dados'!E312,"x",""),IF(AND(Agendamento!$C$3&lt;&gt;"",Agendamento!$C$7=""),IF(Agendamento!$C$3='Base de Dados'!A312,"x",""),IF(AND(Agendamento!$C$3='Base de Dados'!A312,'Base de Dados'!E312=Agendamento!$C$7),"x",""))))</f>
        <v/>
      </c>
      <c r="I312" s="13" t="str">
        <f>IF(H312="x",COUNT($I$1:I311)+1,"")</f>
        <v/>
      </c>
    </row>
    <row r="313" spans="1:9" x14ac:dyDescent="0.25">
      <c r="A313" s="27"/>
      <c r="B313" s="28"/>
      <c r="C313" s="29"/>
      <c r="D313" s="29"/>
      <c r="E313" s="28"/>
      <c r="F313" s="13" t="str">
        <f>IF(A313="","",IF(A313=Agendamento!$C$3,"x",""))</f>
        <v/>
      </c>
      <c r="G313" s="13" t="str">
        <f>IF(A313="","",IF(E313=Agendamento!$C$7,"x",""))</f>
        <v/>
      </c>
      <c r="H313" s="13" t="str">
        <f>IF(A313="","",IF(AND(Agendamento!$C$3="",Agendamento!$C$7&lt;&gt;""),IF(Agendamento!$C$7='Base de Dados'!E313,"x",""),IF(AND(Agendamento!$C$3&lt;&gt;"",Agendamento!$C$7=""),IF(Agendamento!$C$3='Base de Dados'!A313,"x",""),IF(AND(Agendamento!$C$3='Base de Dados'!A313,'Base de Dados'!E313=Agendamento!$C$7),"x",""))))</f>
        <v/>
      </c>
      <c r="I313" s="13" t="str">
        <f>IF(H313="x",COUNT($I$1:I312)+1,"")</f>
        <v/>
      </c>
    </row>
    <row r="314" spans="1:9" x14ac:dyDescent="0.25">
      <c r="A314" s="27"/>
      <c r="B314" s="28"/>
      <c r="C314" s="29"/>
      <c r="D314" s="29"/>
      <c r="E314" s="28"/>
      <c r="F314" s="13" t="str">
        <f>IF(A314="","",IF(A314=Agendamento!$C$3,"x",""))</f>
        <v/>
      </c>
      <c r="G314" s="13" t="str">
        <f>IF(A314="","",IF(E314=Agendamento!$C$7,"x",""))</f>
        <v/>
      </c>
      <c r="H314" s="13" t="str">
        <f>IF(A314="","",IF(AND(Agendamento!$C$3="",Agendamento!$C$7&lt;&gt;""),IF(Agendamento!$C$7='Base de Dados'!E314,"x",""),IF(AND(Agendamento!$C$3&lt;&gt;"",Agendamento!$C$7=""),IF(Agendamento!$C$3='Base de Dados'!A314,"x",""),IF(AND(Agendamento!$C$3='Base de Dados'!A314,'Base de Dados'!E314=Agendamento!$C$7),"x",""))))</f>
        <v/>
      </c>
      <c r="I314" s="13" t="str">
        <f>IF(H314="x",COUNT($I$1:I313)+1,"")</f>
        <v/>
      </c>
    </row>
    <row r="315" spans="1:9" x14ac:dyDescent="0.25">
      <c r="A315" s="27"/>
      <c r="B315" s="28"/>
      <c r="C315" s="29"/>
      <c r="D315" s="29"/>
      <c r="E315" s="28"/>
      <c r="F315" s="13" t="str">
        <f>IF(A315="","",IF(A315=Agendamento!$C$3,"x",""))</f>
        <v/>
      </c>
      <c r="G315" s="13" t="str">
        <f>IF(A315="","",IF(E315=Agendamento!$C$7,"x",""))</f>
        <v/>
      </c>
      <c r="H315" s="13" t="str">
        <f>IF(A315="","",IF(AND(Agendamento!$C$3="",Agendamento!$C$7&lt;&gt;""),IF(Agendamento!$C$7='Base de Dados'!E315,"x",""),IF(AND(Agendamento!$C$3&lt;&gt;"",Agendamento!$C$7=""),IF(Agendamento!$C$3='Base de Dados'!A315,"x",""),IF(AND(Agendamento!$C$3='Base de Dados'!A315,'Base de Dados'!E315=Agendamento!$C$7),"x",""))))</f>
        <v/>
      </c>
      <c r="I315" s="13" t="str">
        <f>IF(H315="x",COUNT($I$1:I314)+1,"")</f>
        <v/>
      </c>
    </row>
    <row r="316" spans="1:9" x14ac:dyDescent="0.25">
      <c r="A316" s="27"/>
      <c r="B316" s="28"/>
      <c r="C316" s="29"/>
      <c r="D316" s="29"/>
      <c r="E316" s="28"/>
      <c r="F316" s="13" t="str">
        <f>IF(A316="","",IF(A316=Agendamento!$C$3,"x",""))</f>
        <v/>
      </c>
      <c r="G316" s="13" t="str">
        <f>IF(A316="","",IF(E316=Agendamento!$C$7,"x",""))</f>
        <v/>
      </c>
      <c r="H316" s="13" t="str">
        <f>IF(A316="","",IF(AND(Agendamento!$C$3="",Agendamento!$C$7&lt;&gt;""),IF(Agendamento!$C$7='Base de Dados'!E316,"x",""),IF(AND(Agendamento!$C$3&lt;&gt;"",Agendamento!$C$7=""),IF(Agendamento!$C$3='Base de Dados'!A316,"x",""),IF(AND(Agendamento!$C$3='Base de Dados'!A316,'Base de Dados'!E316=Agendamento!$C$7),"x",""))))</f>
        <v/>
      </c>
      <c r="I316" s="13" t="str">
        <f>IF(H316="x",COUNT($I$1:I315)+1,"")</f>
        <v/>
      </c>
    </row>
    <row r="317" spans="1:9" x14ac:dyDescent="0.25">
      <c r="A317" s="27"/>
      <c r="B317" s="28"/>
      <c r="C317" s="29"/>
      <c r="D317" s="29"/>
      <c r="E317" s="28"/>
      <c r="F317" s="13" t="str">
        <f>IF(A317="","",IF(A317=Agendamento!$C$3,"x",""))</f>
        <v/>
      </c>
      <c r="G317" s="13" t="str">
        <f>IF(A317="","",IF(E317=Agendamento!$C$7,"x",""))</f>
        <v/>
      </c>
      <c r="H317" s="13" t="str">
        <f>IF(A317="","",IF(AND(Agendamento!$C$3="",Agendamento!$C$7&lt;&gt;""),IF(Agendamento!$C$7='Base de Dados'!E317,"x",""),IF(AND(Agendamento!$C$3&lt;&gt;"",Agendamento!$C$7=""),IF(Agendamento!$C$3='Base de Dados'!A317,"x",""),IF(AND(Agendamento!$C$3='Base de Dados'!A317,'Base de Dados'!E317=Agendamento!$C$7),"x",""))))</f>
        <v/>
      </c>
      <c r="I317" s="13" t="str">
        <f>IF(H317="x",COUNT($I$1:I316)+1,"")</f>
        <v/>
      </c>
    </row>
    <row r="318" spans="1:9" x14ac:dyDescent="0.25">
      <c r="A318" s="27"/>
      <c r="B318" s="28"/>
      <c r="C318" s="29"/>
      <c r="D318" s="29"/>
      <c r="E318" s="28"/>
      <c r="F318" s="13" t="str">
        <f>IF(A318="","",IF(A318=Agendamento!$C$3,"x",""))</f>
        <v/>
      </c>
      <c r="G318" s="13" t="str">
        <f>IF(A318="","",IF(E318=Agendamento!$C$7,"x",""))</f>
        <v/>
      </c>
      <c r="H318" s="13" t="str">
        <f>IF(A318="","",IF(AND(Agendamento!$C$3="",Agendamento!$C$7&lt;&gt;""),IF(Agendamento!$C$7='Base de Dados'!E318,"x",""),IF(AND(Agendamento!$C$3&lt;&gt;"",Agendamento!$C$7=""),IF(Agendamento!$C$3='Base de Dados'!A318,"x",""),IF(AND(Agendamento!$C$3='Base de Dados'!A318,'Base de Dados'!E318=Agendamento!$C$7),"x",""))))</f>
        <v/>
      </c>
      <c r="I318" s="13" t="str">
        <f>IF(H318="x",COUNT($I$1:I317)+1,"")</f>
        <v/>
      </c>
    </row>
    <row r="319" spans="1:9" x14ac:dyDescent="0.25">
      <c r="A319" s="27"/>
      <c r="B319" s="28"/>
      <c r="C319" s="29"/>
      <c r="D319" s="29"/>
      <c r="E319" s="28"/>
      <c r="F319" s="13" t="str">
        <f>IF(A319="","",IF(A319=Agendamento!$C$3,"x",""))</f>
        <v/>
      </c>
      <c r="G319" s="13" t="str">
        <f>IF(A319="","",IF(E319=Agendamento!$C$7,"x",""))</f>
        <v/>
      </c>
      <c r="H319" s="13" t="str">
        <f>IF(A319="","",IF(AND(Agendamento!$C$3="",Agendamento!$C$7&lt;&gt;""),IF(Agendamento!$C$7='Base de Dados'!E319,"x",""),IF(AND(Agendamento!$C$3&lt;&gt;"",Agendamento!$C$7=""),IF(Agendamento!$C$3='Base de Dados'!A319,"x",""),IF(AND(Agendamento!$C$3='Base de Dados'!A319,'Base de Dados'!E319=Agendamento!$C$7),"x",""))))</f>
        <v/>
      </c>
      <c r="I319" s="13" t="str">
        <f>IF(H319="x",COUNT($I$1:I318)+1,"")</f>
        <v/>
      </c>
    </row>
    <row r="320" spans="1:9" x14ac:dyDescent="0.25">
      <c r="A320" s="27"/>
      <c r="B320" s="28"/>
      <c r="C320" s="29"/>
      <c r="D320" s="29"/>
      <c r="E320" s="28"/>
      <c r="F320" s="13" t="str">
        <f>IF(A320="","",IF(A320=Agendamento!$C$3,"x",""))</f>
        <v/>
      </c>
      <c r="G320" s="13" t="str">
        <f>IF(A320="","",IF(E320=Agendamento!$C$7,"x",""))</f>
        <v/>
      </c>
      <c r="H320" s="13" t="str">
        <f>IF(A320="","",IF(AND(Agendamento!$C$3="",Agendamento!$C$7&lt;&gt;""),IF(Agendamento!$C$7='Base de Dados'!E320,"x",""),IF(AND(Agendamento!$C$3&lt;&gt;"",Agendamento!$C$7=""),IF(Agendamento!$C$3='Base de Dados'!A320,"x",""),IF(AND(Agendamento!$C$3='Base de Dados'!A320,'Base de Dados'!E320=Agendamento!$C$7),"x",""))))</f>
        <v/>
      </c>
      <c r="I320" s="13" t="str">
        <f>IF(H320="x",COUNT($I$1:I319)+1,"")</f>
        <v/>
      </c>
    </row>
    <row r="321" spans="1:9" x14ac:dyDescent="0.25">
      <c r="A321" s="27"/>
      <c r="B321" s="28"/>
      <c r="C321" s="29"/>
      <c r="D321" s="29"/>
      <c r="E321" s="28"/>
      <c r="F321" s="13" t="str">
        <f>IF(A321="","",IF(A321=Agendamento!$C$3,"x",""))</f>
        <v/>
      </c>
      <c r="G321" s="13" t="str">
        <f>IF(A321="","",IF(E321=Agendamento!$C$7,"x",""))</f>
        <v/>
      </c>
      <c r="H321" s="13" t="str">
        <f>IF(A321="","",IF(AND(Agendamento!$C$3="",Agendamento!$C$7&lt;&gt;""),IF(Agendamento!$C$7='Base de Dados'!E321,"x",""),IF(AND(Agendamento!$C$3&lt;&gt;"",Agendamento!$C$7=""),IF(Agendamento!$C$3='Base de Dados'!A321,"x",""),IF(AND(Agendamento!$C$3='Base de Dados'!A321,'Base de Dados'!E321=Agendamento!$C$7),"x",""))))</f>
        <v/>
      </c>
      <c r="I321" s="13" t="str">
        <f>IF(H321="x",COUNT($I$1:I320)+1,"")</f>
        <v/>
      </c>
    </row>
    <row r="322" spans="1:9" x14ac:dyDescent="0.25">
      <c r="A322" s="27"/>
      <c r="B322" s="28"/>
      <c r="C322" s="29"/>
      <c r="D322" s="29"/>
      <c r="E322" s="28"/>
      <c r="F322" s="13" t="str">
        <f>IF(A322="","",IF(A322=Agendamento!$C$3,"x",""))</f>
        <v/>
      </c>
      <c r="G322" s="13" t="str">
        <f>IF(A322="","",IF(E322=Agendamento!$C$7,"x",""))</f>
        <v/>
      </c>
      <c r="H322" s="13" t="str">
        <f>IF(A322="","",IF(AND(Agendamento!$C$3="",Agendamento!$C$7&lt;&gt;""),IF(Agendamento!$C$7='Base de Dados'!E322,"x",""),IF(AND(Agendamento!$C$3&lt;&gt;"",Agendamento!$C$7=""),IF(Agendamento!$C$3='Base de Dados'!A322,"x",""),IF(AND(Agendamento!$C$3='Base de Dados'!A322,'Base de Dados'!E322=Agendamento!$C$7),"x",""))))</f>
        <v/>
      </c>
      <c r="I322" s="13" t="str">
        <f>IF(H322="x",COUNT($I$1:I321)+1,"")</f>
        <v/>
      </c>
    </row>
    <row r="323" spans="1:9" x14ac:dyDescent="0.25">
      <c r="A323" s="27"/>
      <c r="B323" s="28"/>
      <c r="C323" s="29"/>
      <c r="D323" s="29"/>
      <c r="E323" s="28"/>
      <c r="F323" s="13" t="str">
        <f>IF(A323="","",IF(A323=Agendamento!$C$3,"x",""))</f>
        <v/>
      </c>
      <c r="G323" s="13" t="str">
        <f>IF(A323="","",IF(E323=Agendamento!$C$7,"x",""))</f>
        <v/>
      </c>
      <c r="H323" s="13" t="str">
        <f>IF(A323="","",IF(AND(Agendamento!$C$3="",Agendamento!$C$7&lt;&gt;""),IF(Agendamento!$C$7='Base de Dados'!E323,"x",""),IF(AND(Agendamento!$C$3&lt;&gt;"",Agendamento!$C$7=""),IF(Agendamento!$C$3='Base de Dados'!A323,"x",""),IF(AND(Agendamento!$C$3='Base de Dados'!A323,'Base de Dados'!E323=Agendamento!$C$7),"x",""))))</f>
        <v/>
      </c>
      <c r="I323" s="13" t="str">
        <f>IF(H323="x",COUNT($I$1:I322)+1,"")</f>
        <v/>
      </c>
    </row>
    <row r="324" spans="1:9" x14ac:dyDescent="0.25">
      <c r="A324" s="27"/>
      <c r="B324" s="28"/>
      <c r="C324" s="29"/>
      <c r="D324" s="29"/>
      <c r="E324" s="28"/>
      <c r="F324" s="13" t="str">
        <f>IF(A324="","",IF(A324=Agendamento!$C$3,"x",""))</f>
        <v/>
      </c>
      <c r="G324" s="13" t="str">
        <f>IF(A324="","",IF(E324=Agendamento!$C$7,"x",""))</f>
        <v/>
      </c>
      <c r="H324" s="13" t="str">
        <f>IF(A324="","",IF(AND(Agendamento!$C$3="",Agendamento!$C$7&lt;&gt;""),IF(Agendamento!$C$7='Base de Dados'!E324,"x",""),IF(AND(Agendamento!$C$3&lt;&gt;"",Agendamento!$C$7=""),IF(Agendamento!$C$3='Base de Dados'!A324,"x",""),IF(AND(Agendamento!$C$3='Base de Dados'!A324,'Base de Dados'!E324=Agendamento!$C$7),"x",""))))</f>
        <v/>
      </c>
      <c r="I324" s="13" t="str">
        <f>IF(H324="x",COUNT($I$1:I323)+1,"")</f>
        <v/>
      </c>
    </row>
    <row r="325" spans="1:9" x14ac:dyDescent="0.25">
      <c r="A325" s="27"/>
      <c r="B325" s="28"/>
      <c r="C325" s="29"/>
      <c r="D325" s="29"/>
      <c r="E325" s="28"/>
      <c r="F325" s="13" t="str">
        <f>IF(A325="","",IF(A325=Agendamento!$C$3,"x",""))</f>
        <v/>
      </c>
      <c r="G325" s="13" t="str">
        <f>IF(A325="","",IF(E325=Agendamento!$C$7,"x",""))</f>
        <v/>
      </c>
      <c r="H325" s="13" t="str">
        <f>IF(A325="","",IF(AND(Agendamento!$C$3="",Agendamento!$C$7&lt;&gt;""),IF(Agendamento!$C$7='Base de Dados'!E325,"x",""),IF(AND(Agendamento!$C$3&lt;&gt;"",Agendamento!$C$7=""),IF(Agendamento!$C$3='Base de Dados'!A325,"x",""),IF(AND(Agendamento!$C$3='Base de Dados'!A325,'Base de Dados'!E325=Agendamento!$C$7),"x",""))))</f>
        <v/>
      </c>
      <c r="I325" s="13" t="str">
        <f>IF(H325="x",COUNT($I$1:I324)+1,"")</f>
        <v/>
      </c>
    </row>
    <row r="326" spans="1:9" x14ac:dyDescent="0.25">
      <c r="A326" s="27"/>
      <c r="B326" s="28"/>
      <c r="C326" s="29"/>
      <c r="D326" s="29"/>
      <c r="E326" s="28"/>
      <c r="F326" s="13" t="str">
        <f>IF(A326="","",IF(A326=Agendamento!$C$3,"x",""))</f>
        <v/>
      </c>
      <c r="G326" s="13" t="str">
        <f>IF(A326="","",IF(E326=Agendamento!$C$7,"x",""))</f>
        <v/>
      </c>
      <c r="H326" s="13" t="str">
        <f>IF(A326="","",IF(AND(Agendamento!$C$3="",Agendamento!$C$7&lt;&gt;""),IF(Agendamento!$C$7='Base de Dados'!E326,"x",""),IF(AND(Agendamento!$C$3&lt;&gt;"",Agendamento!$C$7=""),IF(Agendamento!$C$3='Base de Dados'!A326,"x",""),IF(AND(Agendamento!$C$3='Base de Dados'!A326,'Base de Dados'!E326=Agendamento!$C$7),"x",""))))</f>
        <v/>
      </c>
      <c r="I326" s="13" t="str">
        <f>IF(H326="x",COUNT($I$1:I325)+1,"")</f>
        <v/>
      </c>
    </row>
    <row r="327" spans="1:9" x14ac:dyDescent="0.25">
      <c r="A327" s="27"/>
      <c r="B327" s="28"/>
      <c r="C327" s="29"/>
      <c r="D327" s="29"/>
      <c r="E327" s="28"/>
      <c r="F327" s="13" t="str">
        <f>IF(A327="","",IF(A327=Agendamento!$C$3,"x",""))</f>
        <v/>
      </c>
      <c r="G327" s="13" t="str">
        <f>IF(A327="","",IF(E327=Agendamento!$C$7,"x",""))</f>
        <v/>
      </c>
      <c r="H327" s="13" t="str">
        <f>IF(A327="","",IF(AND(Agendamento!$C$3="",Agendamento!$C$7&lt;&gt;""),IF(Agendamento!$C$7='Base de Dados'!E327,"x",""),IF(AND(Agendamento!$C$3&lt;&gt;"",Agendamento!$C$7=""),IF(Agendamento!$C$3='Base de Dados'!A327,"x",""),IF(AND(Agendamento!$C$3='Base de Dados'!A327,'Base de Dados'!E327=Agendamento!$C$7),"x",""))))</f>
        <v/>
      </c>
      <c r="I327" s="13" t="str">
        <f>IF(H327="x",COUNT($I$1:I326)+1,"")</f>
        <v/>
      </c>
    </row>
    <row r="328" spans="1:9" x14ac:dyDescent="0.25">
      <c r="A328" s="27"/>
      <c r="B328" s="28"/>
      <c r="C328" s="29"/>
      <c r="D328" s="29"/>
      <c r="E328" s="28"/>
      <c r="F328" s="13" t="str">
        <f>IF(A328="","",IF(A328=Agendamento!$C$3,"x",""))</f>
        <v/>
      </c>
      <c r="G328" s="13" t="str">
        <f>IF(A328="","",IF(E328=Agendamento!$C$7,"x",""))</f>
        <v/>
      </c>
      <c r="H328" s="13" t="str">
        <f>IF(A328="","",IF(AND(Agendamento!$C$3="",Agendamento!$C$7&lt;&gt;""),IF(Agendamento!$C$7='Base de Dados'!E328,"x",""),IF(AND(Agendamento!$C$3&lt;&gt;"",Agendamento!$C$7=""),IF(Agendamento!$C$3='Base de Dados'!A328,"x",""),IF(AND(Agendamento!$C$3='Base de Dados'!A328,'Base de Dados'!E328=Agendamento!$C$7),"x",""))))</f>
        <v/>
      </c>
      <c r="I328" s="13" t="str">
        <f>IF(H328="x",COUNT($I$1:I327)+1,"")</f>
        <v/>
      </c>
    </row>
    <row r="329" spans="1:9" x14ac:dyDescent="0.25">
      <c r="A329" s="27"/>
      <c r="B329" s="28"/>
      <c r="C329" s="29"/>
      <c r="D329" s="29"/>
      <c r="E329" s="28"/>
      <c r="F329" s="13" t="str">
        <f>IF(A329="","",IF(A329=Agendamento!$C$3,"x",""))</f>
        <v/>
      </c>
      <c r="G329" s="13" t="str">
        <f>IF(A329="","",IF(E329=Agendamento!$C$7,"x",""))</f>
        <v/>
      </c>
      <c r="H329" s="13" t="str">
        <f>IF(A329="","",IF(AND(Agendamento!$C$3="",Agendamento!$C$7&lt;&gt;""),IF(Agendamento!$C$7='Base de Dados'!E329,"x",""),IF(AND(Agendamento!$C$3&lt;&gt;"",Agendamento!$C$7=""),IF(Agendamento!$C$3='Base de Dados'!A329,"x",""),IF(AND(Agendamento!$C$3='Base de Dados'!A329,'Base de Dados'!E329=Agendamento!$C$7),"x",""))))</f>
        <v/>
      </c>
      <c r="I329" s="13" t="str">
        <f>IF(H329="x",COUNT($I$1:I328)+1,"")</f>
        <v/>
      </c>
    </row>
    <row r="330" spans="1:9" x14ac:dyDescent="0.25">
      <c r="A330" s="27"/>
      <c r="B330" s="28"/>
      <c r="C330" s="29"/>
      <c r="D330" s="29"/>
      <c r="E330" s="28"/>
      <c r="F330" s="13" t="str">
        <f>IF(A330="","",IF(A330=Agendamento!$C$3,"x",""))</f>
        <v/>
      </c>
      <c r="G330" s="13" t="str">
        <f>IF(A330="","",IF(E330=Agendamento!$C$7,"x",""))</f>
        <v/>
      </c>
      <c r="H330" s="13" t="str">
        <f>IF(A330="","",IF(AND(Agendamento!$C$3="",Agendamento!$C$7&lt;&gt;""),IF(Agendamento!$C$7='Base de Dados'!E330,"x",""),IF(AND(Agendamento!$C$3&lt;&gt;"",Agendamento!$C$7=""),IF(Agendamento!$C$3='Base de Dados'!A330,"x",""),IF(AND(Agendamento!$C$3='Base de Dados'!A330,'Base de Dados'!E330=Agendamento!$C$7),"x",""))))</f>
        <v/>
      </c>
      <c r="I330" s="13" t="str">
        <f>IF(H330="x",COUNT($I$1:I329)+1,"")</f>
        <v/>
      </c>
    </row>
    <row r="331" spans="1:9" x14ac:dyDescent="0.25">
      <c r="A331" s="27"/>
      <c r="B331" s="28"/>
      <c r="C331" s="29"/>
      <c r="D331" s="29"/>
      <c r="E331" s="28"/>
      <c r="F331" s="13" t="str">
        <f>IF(A331="","",IF(A331=Agendamento!$C$3,"x",""))</f>
        <v/>
      </c>
      <c r="G331" s="13" t="str">
        <f>IF(A331="","",IF(E331=Agendamento!$C$7,"x",""))</f>
        <v/>
      </c>
      <c r="H331" s="13" t="str">
        <f>IF(A331="","",IF(AND(Agendamento!$C$3="",Agendamento!$C$7&lt;&gt;""),IF(Agendamento!$C$7='Base de Dados'!E331,"x",""),IF(AND(Agendamento!$C$3&lt;&gt;"",Agendamento!$C$7=""),IF(Agendamento!$C$3='Base de Dados'!A331,"x",""),IF(AND(Agendamento!$C$3='Base de Dados'!A331,'Base de Dados'!E331=Agendamento!$C$7),"x",""))))</f>
        <v/>
      </c>
      <c r="I331" s="13" t="str">
        <f>IF(H331="x",COUNT($I$1:I330)+1,"")</f>
        <v/>
      </c>
    </row>
    <row r="332" spans="1:9" x14ac:dyDescent="0.25">
      <c r="A332" s="27"/>
      <c r="B332" s="28"/>
      <c r="C332" s="29"/>
      <c r="D332" s="29"/>
      <c r="E332" s="28"/>
      <c r="F332" s="13" t="str">
        <f>IF(A332="","",IF(A332=Agendamento!$C$3,"x",""))</f>
        <v/>
      </c>
      <c r="G332" s="13" t="str">
        <f>IF(A332="","",IF(E332=Agendamento!$C$7,"x",""))</f>
        <v/>
      </c>
      <c r="H332" s="13" t="str">
        <f>IF(A332="","",IF(AND(Agendamento!$C$3="",Agendamento!$C$7&lt;&gt;""),IF(Agendamento!$C$7='Base de Dados'!E332,"x",""),IF(AND(Agendamento!$C$3&lt;&gt;"",Agendamento!$C$7=""),IF(Agendamento!$C$3='Base de Dados'!A332,"x",""),IF(AND(Agendamento!$C$3='Base de Dados'!A332,'Base de Dados'!E332=Agendamento!$C$7),"x",""))))</f>
        <v/>
      </c>
      <c r="I332" s="13" t="str">
        <f>IF(H332="x",COUNT($I$1:I331)+1,"")</f>
        <v/>
      </c>
    </row>
    <row r="333" spans="1:9" x14ac:dyDescent="0.25">
      <c r="A333" s="27"/>
      <c r="B333" s="28"/>
      <c r="C333" s="29"/>
      <c r="D333" s="29"/>
      <c r="E333" s="28"/>
      <c r="F333" s="13" t="str">
        <f>IF(A333="","",IF(A333=Agendamento!$C$3,"x",""))</f>
        <v/>
      </c>
      <c r="G333" s="13" t="str">
        <f>IF(A333="","",IF(E333=Agendamento!$C$7,"x",""))</f>
        <v/>
      </c>
      <c r="H333" s="13" t="str">
        <f>IF(A333="","",IF(AND(Agendamento!$C$3="",Agendamento!$C$7&lt;&gt;""),IF(Agendamento!$C$7='Base de Dados'!E333,"x",""),IF(AND(Agendamento!$C$3&lt;&gt;"",Agendamento!$C$7=""),IF(Agendamento!$C$3='Base de Dados'!A333,"x",""),IF(AND(Agendamento!$C$3='Base de Dados'!A333,'Base de Dados'!E333=Agendamento!$C$7),"x",""))))</f>
        <v/>
      </c>
      <c r="I333" s="13" t="str">
        <f>IF(H333="x",COUNT($I$1:I332)+1,"")</f>
        <v/>
      </c>
    </row>
    <row r="334" spans="1:9" x14ac:dyDescent="0.25">
      <c r="A334" s="27"/>
      <c r="B334" s="28"/>
      <c r="C334" s="29"/>
      <c r="D334" s="29"/>
      <c r="E334" s="28"/>
      <c r="F334" s="13" t="str">
        <f>IF(A334="","",IF(A334=Agendamento!$C$3,"x",""))</f>
        <v/>
      </c>
      <c r="G334" s="13" t="str">
        <f>IF(A334="","",IF(E334=Agendamento!$C$7,"x",""))</f>
        <v/>
      </c>
      <c r="H334" s="13" t="str">
        <f>IF(A334="","",IF(AND(Agendamento!$C$3="",Agendamento!$C$7&lt;&gt;""),IF(Agendamento!$C$7='Base de Dados'!E334,"x",""),IF(AND(Agendamento!$C$3&lt;&gt;"",Agendamento!$C$7=""),IF(Agendamento!$C$3='Base de Dados'!A334,"x",""),IF(AND(Agendamento!$C$3='Base de Dados'!A334,'Base de Dados'!E334=Agendamento!$C$7),"x",""))))</f>
        <v/>
      </c>
      <c r="I334" s="13" t="str">
        <f>IF(H334="x",COUNT($I$1:I333)+1,"")</f>
        <v/>
      </c>
    </row>
    <row r="335" spans="1:9" x14ac:dyDescent="0.25">
      <c r="A335" s="27"/>
      <c r="B335" s="28"/>
      <c r="C335" s="29"/>
      <c r="D335" s="29"/>
      <c r="E335" s="28"/>
      <c r="F335" s="13" t="str">
        <f>IF(A335="","",IF(A335=Agendamento!$C$3,"x",""))</f>
        <v/>
      </c>
      <c r="G335" s="13" t="str">
        <f>IF(A335="","",IF(E335=Agendamento!$C$7,"x",""))</f>
        <v/>
      </c>
      <c r="H335" s="13" t="str">
        <f>IF(A335="","",IF(AND(Agendamento!$C$3="",Agendamento!$C$7&lt;&gt;""),IF(Agendamento!$C$7='Base de Dados'!E335,"x",""),IF(AND(Agendamento!$C$3&lt;&gt;"",Agendamento!$C$7=""),IF(Agendamento!$C$3='Base de Dados'!A335,"x",""),IF(AND(Agendamento!$C$3='Base de Dados'!A335,'Base de Dados'!E335=Agendamento!$C$7),"x",""))))</f>
        <v/>
      </c>
      <c r="I335" s="13" t="str">
        <f>IF(H335="x",COUNT($I$1:I334)+1,"")</f>
        <v/>
      </c>
    </row>
    <row r="336" spans="1:9" x14ac:dyDescent="0.25">
      <c r="A336" s="27"/>
      <c r="B336" s="28"/>
      <c r="C336" s="29"/>
      <c r="D336" s="29"/>
      <c r="E336" s="28"/>
      <c r="F336" s="13" t="str">
        <f>IF(A336="","",IF(A336=Agendamento!$C$3,"x",""))</f>
        <v/>
      </c>
      <c r="G336" s="13" t="str">
        <f>IF(A336="","",IF(E336=Agendamento!$C$7,"x",""))</f>
        <v/>
      </c>
      <c r="H336" s="13" t="str">
        <f>IF(A336="","",IF(AND(Agendamento!$C$3="",Agendamento!$C$7&lt;&gt;""),IF(Agendamento!$C$7='Base de Dados'!E336,"x",""),IF(AND(Agendamento!$C$3&lt;&gt;"",Agendamento!$C$7=""),IF(Agendamento!$C$3='Base de Dados'!A336,"x",""),IF(AND(Agendamento!$C$3='Base de Dados'!A336,'Base de Dados'!E336=Agendamento!$C$7),"x",""))))</f>
        <v/>
      </c>
      <c r="I336" s="13" t="str">
        <f>IF(H336="x",COUNT($I$1:I335)+1,"")</f>
        <v/>
      </c>
    </row>
    <row r="337" spans="1:9" x14ac:dyDescent="0.25">
      <c r="A337" s="27"/>
      <c r="B337" s="28"/>
      <c r="C337" s="29"/>
      <c r="D337" s="29"/>
      <c r="E337" s="28"/>
      <c r="F337" s="13" t="str">
        <f>IF(A337="","",IF(A337=Agendamento!$C$3,"x",""))</f>
        <v/>
      </c>
      <c r="G337" s="13" t="str">
        <f>IF(A337="","",IF(E337=Agendamento!$C$7,"x",""))</f>
        <v/>
      </c>
      <c r="H337" s="13" t="str">
        <f>IF(A337="","",IF(AND(Agendamento!$C$3="",Agendamento!$C$7&lt;&gt;""),IF(Agendamento!$C$7='Base de Dados'!E337,"x",""),IF(AND(Agendamento!$C$3&lt;&gt;"",Agendamento!$C$7=""),IF(Agendamento!$C$3='Base de Dados'!A337,"x",""),IF(AND(Agendamento!$C$3='Base de Dados'!A337,'Base de Dados'!E337=Agendamento!$C$7),"x",""))))</f>
        <v/>
      </c>
      <c r="I337" s="13" t="str">
        <f>IF(H337="x",COUNT($I$1:I336)+1,"")</f>
        <v/>
      </c>
    </row>
    <row r="338" spans="1:9" x14ac:dyDescent="0.25">
      <c r="A338" s="27"/>
      <c r="B338" s="28"/>
      <c r="C338" s="29"/>
      <c r="D338" s="29"/>
      <c r="E338" s="28"/>
      <c r="F338" s="13" t="str">
        <f>IF(A338="","",IF(A338=Agendamento!$C$3,"x",""))</f>
        <v/>
      </c>
      <c r="G338" s="13" t="str">
        <f>IF(A338="","",IF(E338=Agendamento!$C$7,"x",""))</f>
        <v/>
      </c>
      <c r="H338" s="13" t="str">
        <f>IF(A338="","",IF(AND(Agendamento!$C$3="",Agendamento!$C$7&lt;&gt;""),IF(Agendamento!$C$7='Base de Dados'!E338,"x",""),IF(AND(Agendamento!$C$3&lt;&gt;"",Agendamento!$C$7=""),IF(Agendamento!$C$3='Base de Dados'!A338,"x",""),IF(AND(Agendamento!$C$3='Base de Dados'!A338,'Base de Dados'!E338=Agendamento!$C$7),"x",""))))</f>
        <v/>
      </c>
      <c r="I338" s="13" t="str">
        <f>IF(H338="x",COUNT($I$1:I337)+1,"")</f>
        <v/>
      </c>
    </row>
    <row r="339" spans="1:9" x14ac:dyDescent="0.25">
      <c r="A339" s="27"/>
      <c r="B339" s="28"/>
      <c r="C339" s="29"/>
      <c r="D339" s="29"/>
      <c r="E339" s="28"/>
      <c r="F339" s="13" t="str">
        <f>IF(A339="","",IF(A339=Agendamento!$C$3,"x",""))</f>
        <v/>
      </c>
      <c r="G339" s="13" t="str">
        <f>IF(A339="","",IF(E339=Agendamento!$C$7,"x",""))</f>
        <v/>
      </c>
      <c r="H339" s="13" t="str">
        <f>IF(A339="","",IF(AND(Agendamento!$C$3="",Agendamento!$C$7&lt;&gt;""),IF(Agendamento!$C$7='Base de Dados'!E339,"x",""),IF(AND(Agendamento!$C$3&lt;&gt;"",Agendamento!$C$7=""),IF(Agendamento!$C$3='Base de Dados'!A339,"x",""),IF(AND(Agendamento!$C$3='Base de Dados'!A339,'Base de Dados'!E339=Agendamento!$C$7),"x",""))))</f>
        <v/>
      </c>
      <c r="I339" s="13" t="str">
        <f>IF(H339="x",COUNT($I$1:I338)+1,"")</f>
        <v/>
      </c>
    </row>
    <row r="340" spans="1:9" x14ac:dyDescent="0.25">
      <c r="A340" s="27"/>
      <c r="B340" s="28"/>
      <c r="C340" s="29"/>
      <c r="D340" s="29"/>
      <c r="E340" s="28"/>
      <c r="F340" s="13" t="str">
        <f>IF(A340="","",IF(A340=Agendamento!$C$3,"x",""))</f>
        <v/>
      </c>
      <c r="G340" s="13" t="str">
        <f>IF(A340="","",IF(E340=Agendamento!$C$7,"x",""))</f>
        <v/>
      </c>
      <c r="H340" s="13" t="str">
        <f>IF(A340="","",IF(AND(Agendamento!$C$3="",Agendamento!$C$7&lt;&gt;""),IF(Agendamento!$C$7='Base de Dados'!E340,"x",""),IF(AND(Agendamento!$C$3&lt;&gt;"",Agendamento!$C$7=""),IF(Agendamento!$C$3='Base de Dados'!A340,"x",""),IF(AND(Agendamento!$C$3='Base de Dados'!A340,'Base de Dados'!E340=Agendamento!$C$7),"x",""))))</f>
        <v/>
      </c>
      <c r="I340" s="13" t="str">
        <f>IF(H340="x",COUNT($I$1:I339)+1,"")</f>
        <v/>
      </c>
    </row>
    <row r="341" spans="1:9" x14ac:dyDescent="0.25">
      <c r="A341" s="27"/>
      <c r="B341" s="28"/>
      <c r="C341" s="29"/>
      <c r="D341" s="29"/>
      <c r="E341" s="28"/>
      <c r="F341" s="13" t="str">
        <f>IF(A341="","",IF(A341=Agendamento!$C$3,"x",""))</f>
        <v/>
      </c>
      <c r="G341" s="13" t="str">
        <f>IF(A341="","",IF(E341=Agendamento!$C$7,"x",""))</f>
        <v/>
      </c>
      <c r="H341" s="13" t="str">
        <f>IF(A341="","",IF(AND(Agendamento!$C$3="",Agendamento!$C$7&lt;&gt;""),IF(Agendamento!$C$7='Base de Dados'!E341,"x",""),IF(AND(Agendamento!$C$3&lt;&gt;"",Agendamento!$C$7=""),IF(Agendamento!$C$3='Base de Dados'!A341,"x",""),IF(AND(Agendamento!$C$3='Base de Dados'!A341,'Base de Dados'!E341=Agendamento!$C$7),"x",""))))</f>
        <v/>
      </c>
      <c r="I341" s="13" t="str">
        <f>IF(H341="x",COUNT($I$1:I340)+1,"")</f>
        <v/>
      </c>
    </row>
    <row r="342" spans="1:9" x14ac:dyDescent="0.25">
      <c r="A342" s="27"/>
      <c r="B342" s="28"/>
      <c r="C342" s="29"/>
      <c r="D342" s="29"/>
      <c r="E342" s="28"/>
      <c r="F342" s="13" t="str">
        <f>IF(A342="","",IF(A342=Agendamento!$C$3,"x",""))</f>
        <v/>
      </c>
      <c r="G342" s="13" t="str">
        <f>IF(A342="","",IF(E342=Agendamento!$C$7,"x",""))</f>
        <v/>
      </c>
      <c r="H342" s="13" t="str">
        <f>IF(A342="","",IF(AND(Agendamento!$C$3="",Agendamento!$C$7&lt;&gt;""),IF(Agendamento!$C$7='Base de Dados'!E342,"x",""),IF(AND(Agendamento!$C$3&lt;&gt;"",Agendamento!$C$7=""),IF(Agendamento!$C$3='Base de Dados'!A342,"x",""),IF(AND(Agendamento!$C$3='Base de Dados'!A342,'Base de Dados'!E342=Agendamento!$C$7),"x",""))))</f>
        <v/>
      </c>
      <c r="I342" s="13" t="str">
        <f>IF(H342="x",COUNT($I$1:I341)+1,"")</f>
        <v/>
      </c>
    </row>
    <row r="343" spans="1:9" x14ac:dyDescent="0.25">
      <c r="A343" s="27"/>
      <c r="B343" s="28"/>
      <c r="C343" s="29"/>
      <c r="D343" s="29"/>
      <c r="E343" s="28"/>
      <c r="F343" s="13" t="str">
        <f>IF(A343="","",IF(A343=Agendamento!$C$3,"x",""))</f>
        <v/>
      </c>
      <c r="G343" s="13" t="str">
        <f>IF(A343="","",IF(E343=Agendamento!$C$7,"x",""))</f>
        <v/>
      </c>
      <c r="H343" s="13" t="str">
        <f>IF(A343="","",IF(AND(Agendamento!$C$3="",Agendamento!$C$7&lt;&gt;""),IF(Agendamento!$C$7='Base de Dados'!E343,"x",""),IF(AND(Agendamento!$C$3&lt;&gt;"",Agendamento!$C$7=""),IF(Agendamento!$C$3='Base de Dados'!A343,"x",""),IF(AND(Agendamento!$C$3='Base de Dados'!A343,'Base de Dados'!E343=Agendamento!$C$7),"x",""))))</f>
        <v/>
      </c>
      <c r="I343" s="13" t="str">
        <f>IF(H343="x",COUNT($I$1:I342)+1,"")</f>
        <v/>
      </c>
    </row>
    <row r="344" spans="1:9" x14ac:dyDescent="0.25">
      <c r="A344" s="27"/>
      <c r="B344" s="28"/>
      <c r="C344" s="29"/>
      <c r="D344" s="29"/>
      <c r="E344" s="28"/>
      <c r="F344" s="13" t="str">
        <f>IF(A344="","",IF(A344=Agendamento!$C$3,"x",""))</f>
        <v/>
      </c>
      <c r="G344" s="13" t="str">
        <f>IF(A344="","",IF(E344=Agendamento!$C$7,"x",""))</f>
        <v/>
      </c>
      <c r="H344" s="13" t="str">
        <f>IF(A344="","",IF(AND(Agendamento!$C$3="",Agendamento!$C$7&lt;&gt;""),IF(Agendamento!$C$7='Base de Dados'!E344,"x",""),IF(AND(Agendamento!$C$3&lt;&gt;"",Agendamento!$C$7=""),IF(Agendamento!$C$3='Base de Dados'!A344,"x",""),IF(AND(Agendamento!$C$3='Base de Dados'!A344,'Base de Dados'!E344=Agendamento!$C$7),"x",""))))</f>
        <v/>
      </c>
      <c r="I344" s="13" t="str">
        <f>IF(H344="x",COUNT($I$1:I343)+1,"")</f>
        <v/>
      </c>
    </row>
    <row r="345" spans="1:9" x14ac:dyDescent="0.25">
      <c r="A345" s="27"/>
      <c r="B345" s="28"/>
      <c r="C345" s="29"/>
      <c r="D345" s="29"/>
      <c r="E345" s="28"/>
      <c r="F345" s="13" t="str">
        <f>IF(A345="","",IF(A345=Agendamento!$C$3,"x",""))</f>
        <v/>
      </c>
      <c r="G345" s="13" t="str">
        <f>IF(A345="","",IF(E345=Agendamento!$C$7,"x",""))</f>
        <v/>
      </c>
      <c r="H345" s="13" t="str">
        <f>IF(A345="","",IF(AND(Agendamento!$C$3="",Agendamento!$C$7&lt;&gt;""),IF(Agendamento!$C$7='Base de Dados'!E345,"x",""),IF(AND(Agendamento!$C$3&lt;&gt;"",Agendamento!$C$7=""),IF(Agendamento!$C$3='Base de Dados'!A345,"x",""),IF(AND(Agendamento!$C$3='Base de Dados'!A345,'Base de Dados'!E345=Agendamento!$C$7),"x",""))))</f>
        <v/>
      </c>
      <c r="I345" s="13" t="str">
        <f>IF(H345="x",COUNT($I$1:I344)+1,"")</f>
        <v/>
      </c>
    </row>
    <row r="346" spans="1:9" x14ac:dyDescent="0.25">
      <c r="A346" s="27"/>
      <c r="B346" s="28"/>
      <c r="C346" s="29"/>
      <c r="D346" s="29"/>
      <c r="E346" s="28"/>
      <c r="F346" s="13" t="str">
        <f>IF(A346="","",IF(A346=Agendamento!$C$3,"x",""))</f>
        <v/>
      </c>
      <c r="G346" s="13" t="str">
        <f>IF(A346="","",IF(E346=Agendamento!$C$7,"x",""))</f>
        <v/>
      </c>
      <c r="H346" s="13" t="str">
        <f>IF(A346="","",IF(AND(Agendamento!$C$3="",Agendamento!$C$7&lt;&gt;""),IF(Agendamento!$C$7='Base de Dados'!E346,"x",""),IF(AND(Agendamento!$C$3&lt;&gt;"",Agendamento!$C$7=""),IF(Agendamento!$C$3='Base de Dados'!A346,"x",""),IF(AND(Agendamento!$C$3='Base de Dados'!A346,'Base de Dados'!E346=Agendamento!$C$7),"x",""))))</f>
        <v/>
      </c>
      <c r="I346" s="13" t="str">
        <f>IF(H346="x",COUNT($I$1:I345)+1,"")</f>
        <v/>
      </c>
    </row>
    <row r="347" spans="1:9" x14ac:dyDescent="0.25">
      <c r="A347" s="27"/>
      <c r="B347" s="28"/>
      <c r="C347" s="29"/>
      <c r="D347" s="29"/>
      <c r="E347" s="28"/>
      <c r="F347" s="13" t="str">
        <f>IF(A347="","",IF(A347=Agendamento!$C$3,"x",""))</f>
        <v/>
      </c>
      <c r="G347" s="13" t="str">
        <f>IF(A347="","",IF(E347=Agendamento!$C$7,"x",""))</f>
        <v/>
      </c>
      <c r="H347" s="13" t="str">
        <f>IF(A347="","",IF(AND(Agendamento!$C$3="",Agendamento!$C$7&lt;&gt;""),IF(Agendamento!$C$7='Base de Dados'!E347,"x",""),IF(AND(Agendamento!$C$3&lt;&gt;"",Agendamento!$C$7=""),IF(Agendamento!$C$3='Base de Dados'!A347,"x",""),IF(AND(Agendamento!$C$3='Base de Dados'!A347,'Base de Dados'!E347=Agendamento!$C$7),"x",""))))</f>
        <v/>
      </c>
      <c r="I347" s="13" t="str">
        <f>IF(H347="x",COUNT($I$1:I346)+1,"")</f>
        <v/>
      </c>
    </row>
    <row r="348" spans="1:9" x14ac:dyDescent="0.25">
      <c r="A348" s="27"/>
      <c r="B348" s="28"/>
      <c r="C348" s="29"/>
      <c r="D348" s="29"/>
      <c r="E348" s="28"/>
      <c r="F348" s="13" t="str">
        <f>IF(A348="","",IF(A348=Agendamento!$C$3,"x",""))</f>
        <v/>
      </c>
      <c r="G348" s="13" t="str">
        <f>IF(A348="","",IF(E348=Agendamento!$C$7,"x",""))</f>
        <v/>
      </c>
      <c r="H348" s="13" t="str">
        <f>IF(A348="","",IF(AND(Agendamento!$C$3="",Agendamento!$C$7&lt;&gt;""),IF(Agendamento!$C$7='Base de Dados'!E348,"x",""),IF(AND(Agendamento!$C$3&lt;&gt;"",Agendamento!$C$7=""),IF(Agendamento!$C$3='Base de Dados'!A348,"x",""),IF(AND(Agendamento!$C$3='Base de Dados'!A348,'Base de Dados'!E348=Agendamento!$C$7),"x",""))))</f>
        <v/>
      </c>
      <c r="I348" s="13" t="str">
        <f>IF(H348="x",COUNT($I$1:I347)+1,"")</f>
        <v/>
      </c>
    </row>
    <row r="349" spans="1:9" x14ac:dyDescent="0.25">
      <c r="A349" s="27"/>
      <c r="B349" s="28"/>
      <c r="C349" s="29"/>
      <c r="D349" s="29"/>
      <c r="E349" s="28"/>
      <c r="F349" s="13" t="str">
        <f>IF(A349="","",IF(A349=Agendamento!$C$3,"x",""))</f>
        <v/>
      </c>
      <c r="G349" s="13" t="str">
        <f>IF(A349="","",IF(E349=Agendamento!$C$7,"x",""))</f>
        <v/>
      </c>
      <c r="H349" s="13" t="str">
        <f>IF(A349="","",IF(AND(Agendamento!$C$3="",Agendamento!$C$7&lt;&gt;""),IF(Agendamento!$C$7='Base de Dados'!E349,"x",""),IF(AND(Agendamento!$C$3&lt;&gt;"",Agendamento!$C$7=""),IF(Agendamento!$C$3='Base de Dados'!A349,"x",""),IF(AND(Agendamento!$C$3='Base de Dados'!A349,'Base de Dados'!E349=Agendamento!$C$7),"x",""))))</f>
        <v/>
      </c>
      <c r="I349" s="13" t="str">
        <f>IF(H349="x",COUNT($I$1:I348)+1,"")</f>
        <v/>
      </c>
    </row>
    <row r="350" spans="1:9" x14ac:dyDescent="0.25">
      <c r="A350" s="27"/>
      <c r="B350" s="28"/>
      <c r="C350" s="29"/>
      <c r="D350" s="29"/>
      <c r="E350" s="28"/>
      <c r="F350" s="13" t="str">
        <f>IF(A350="","",IF(A350=Agendamento!$C$3,"x",""))</f>
        <v/>
      </c>
      <c r="G350" s="13" t="str">
        <f>IF(A350="","",IF(E350=Agendamento!$C$7,"x",""))</f>
        <v/>
      </c>
      <c r="H350" s="13" t="str">
        <f>IF(A350="","",IF(AND(Agendamento!$C$3="",Agendamento!$C$7&lt;&gt;""),IF(Agendamento!$C$7='Base de Dados'!E350,"x",""),IF(AND(Agendamento!$C$3&lt;&gt;"",Agendamento!$C$7=""),IF(Agendamento!$C$3='Base de Dados'!A350,"x",""),IF(AND(Agendamento!$C$3='Base de Dados'!A350,'Base de Dados'!E350=Agendamento!$C$7),"x",""))))</f>
        <v/>
      </c>
      <c r="I350" s="13" t="str">
        <f>IF(H350="x",COUNT($I$1:I349)+1,"")</f>
        <v/>
      </c>
    </row>
    <row r="351" spans="1:9" x14ac:dyDescent="0.25">
      <c r="A351" s="27"/>
      <c r="B351" s="28"/>
      <c r="C351" s="29"/>
      <c r="D351" s="29"/>
      <c r="E351" s="28"/>
      <c r="F351" s="13" t="str">
        <f>IF(A351="","",IF(A351=Agendamento!$C$3,"x",""))</f>
        <v/>
      </c>
      <c r="G351" s="13" t="str">
        <f>IF(A351="","",IF(E351=Agendamento!$C$7,"x",""))</f>
        <v/>
      </c>
      <c r="H351" s="13" t="str">
        <f>IF(A351="","",IF(AND(Agendamento!$C$3="",Agendamento!$C$7&lt;&gt;""),IF(Agendamento!$C$7='Base de Dados'!E351,"x",""),IF(AND(Agendamento!$C$3&lt;&gt;"",Agendamento!$C$7=""),IF(Agendamento!$C$3='Base de Dados'!A351,"x",""),IF(AND(Agendamento!$C$3='Base de Dados'!A351,'Base de Dados'!E351=Agendamento!$C$7),"x",""))))</f>
        <v/>
      </c>
      <c r="I351" s="13" t="str">
        <f>IF(H351="x",COUNT($I$1:I350)+1,"")</f>
        <v/>
      </c>
    </row>
    <row r="352" spans="1:9" x14ac:dyDescent="0.25">
      <c r="A352" s="27"/>
      <c r="B352" s="28"/>
      <c r="C352" s="29"/>
      <c r="D352" s="29"/>
      <c r="E352" s="28"/>
      <c r="F352" s="13" t="str">
        <f>IF(A352="","",IF(A352=Agendamento!$C$3,"x",""))</f>
        <v/>
      </c>
      <c r="G352" s="13" t="str">
        <f>IF(A352="","",IF(E352=Agendamento!$C$7,"x",""))</f>
        <v/>
      </c>
      <c r="H352" s="13" t="str">
        <f>IF(A352="","",IF(AND(Agendamento!$C$3="",Agendamento!$C$7&lt;&gt;""),IF(Agendamento!$C$7='Base de Dados'!E352,"x",""),IF(AND(Agendamento!$C$3&lt;&gt;"",Agendamento!$C$7=""),IF(Agendamento!$C$3='Base de Dados'!A352,"x",""),IF(AND(Agendamento!$C$3='Base de Dados'!A352,'Base de Dados'!E352=Agendamento!$C$7),"x",""))))</f>
        <v/>
      </c>
      <c r="I352" s="13" t="str">
        <f>IF(H352="x",COUNT($I$1:I351)+1,"")</f>
        <v/>
      </c>
    </row>
    <row r="353" spans="1:9" x14ac:dyDescent="0.25">
      <c r="A353" s="27"/>
      <c r="B353" s="28"/>
      <c r="C353" s="29"/>
      <c r="D353" s="29"/>
      <c r="E353" s="28"/>
      <c r="F353" s="13" t="str">
        <f>IF(A353="","",IF(A353=Agendamento!$C$3,"x",""))</f>
        <v/>
      </c>
      <c r="G353" s="13" t="str">
        <f>IF(A353="","",IF(E353=Agendamento!$C$7,"x",""))</f>
        <v/>
      </c>
      <c r="H353" s="13" t="str">
        <f>IF(A353="","",IF(AND(Agendamento!$C$3="",Agendamento!$C$7&lt;&gt;""),IF(Agendamento!$C$7='Base de Dados'!E353,"x",""),IF(AND(Agendamento!$C$3&lt;&gt;"",Agendamento!$C$7=""),IF(Agendamento!$C$3='Base de Dados'!A353,"x",""),IF(AND(Agendamento!$C$3='Base de Dados'!A353,'Base de Dados'!E353=Agendamento!$C$7),"x",""))))</f>
        <v/>
      </c>
      <c r="I353" s="13" t="str">
        <f>IF(H353="x",COUNT($I$1:I352)+1,"")</f>
        <v/>
      </c>
    </row>
    <row r="354" spans="1:9" x14ac:dyDescent="0.25">
      <c r="A354" s="27"/>
      <c r="B354" s="28"/>
      <c r="C354" s="29"/>
      <c r="D354" s="29"/>
      <c r="E354" s="28"/>
      <c r="F354" s="13" t="str">
        <f>IF(A354="","",IF(A354=Agendamento!$C$3,"x",""))</f>
        <v/>
      </c>
      <c r="G354" s="13" t="str">
        <f>IF(A354="","",IF(E354=Agendamento!$C$7,"x",""))</f>
        <v/>
      </c>
      <c r="H354" s="13" t="str">
        <f>IF(A354="","",IF(AND(Agendamento!$C$3="",Agendamento!$C$7&lt;&gt;""),IF(Agendamento!$C$7='Base de Dados'!E354,"x",""),IF(AND(Agendamento!$C$3&lt;&gt;"",Agendamento!$C$7=""),IF(Agendamento!$C$3='Base de Dados'!A354,"x",""),IF(AND(Agendamento!$C$3='Base de Dados'!A354,'Base de Dados'!E354=Agendamento!$C$7),"x",""))))</f>
        <v/>
      </c>
      <c r="I354" s="13" t="str">
        <f>IF(H354="x",COUNT($I$1:I353)+1,"")</f>
        <v/>
      </c>
    </row>
    <row r="355" spans="1:9" x14ac:dyDescent="0.25">
      <c r="A355" s="27"/>
      <c r="B355" s="28"/>
      <c r="C355" s="29"/>
      <c r="D355" s="29"/>
      <c r="E355" s="28"/>
      <c r="F355" s="13" t="str">
        <f>IF(A355="","",IF(A355=Agendamento!$C$3,"x",""))</f>
        <v/>
      </c>
      <c r="G355" s="13" t="str">
        <f>IF(A355="","",IF(E355=Agendamento!$C$7,"x",""))</f>
        <v/>
      </c>
      <c r="H355" s="13" t="str">
        <f>IF(A355="","",IF(AND(Agendamento!$C$3="",Agendamento!$C$7&lt;&gt;""),IF(Agendamento!$C$7='Base de Dados'!E355,"x",""),IF(AND(Agendamento!$C$3&lt;&gt;"",Agendamento!$C$7=""),IF(Agendamento!$C$3='Base de Dados'!A355,"x",""),IF(AND(Agendamento!$C$3='Base de Dados'!A355,'Base de Dados'!E355=Agendamento!$C$7),"x",""))))</f>
        <v/>
      </c>
      <c r="I355" s="13" t="str">
        <f>IF(H355="x",COUNT($I$1:I354)+1,"")</f>
        <v/>
      </c>
    </row>
    <row r="356" spans="1:9" x14ac:dyDescent="0.25">
      <c r="A356" s="27"/>
      <c r="B356" s="28"/>
      <c r="C356" s="29"/>
      <c r="D356" s="29"/>
      <c r="E356" s="28"/>
      <c r="F356" s="13" t="str">
        <f>IF(A356="","",IF(A356=Agendamento!$C$3,"x",""))</f>
        <v/>
      </c>
      <c r="G356" s="13" t="str">
        <f>IF(A356="","",IF(E356=Agendamento!$C$7,"x",""))</f>
        <v/>
      </c>
      <c r="H356" s="13" t="str">
        <f>IF(A356="","",IF(AND(Agendamento!$C$3="",Agendamento!$C$7&lt;&gt;""),IF(Agendamento!$C$7='Base de Dados'!E356,"x",""),IF(AND(Agendamento!$C$3&lt;&gt;"",Agendamento!$C$7=""),IF(Agendamento!$C$3='Base de Dados'!A356,"x",""),IF(AND(Agendamento!$C$3='Base de Dados'!A356,'Base de Dados'!E356=Agendamento!$C$7),"x",""))))</f>
        <v/>
      </c>
      <c r="I356" s="13" t="str">
        <f>IF(H356="x",COUNT($I$1:I355)+1,"")</f>
        <v/>
      </c>
    </row>
    <row r="357" spans="1:9" x14ac:dyDescent="0.25">
      <c r="A357" s="27"/>
      <c r="B357" s="28"/>
      <c r="C357" s="29"/>
      <c r="D357" s="29"/>
      <c r="E357" s="28"/>
      <c r="F357" s="13" t="str">
        <f>IF(A357="","",IF(A357=Agendamento!$C$3,"x",""))</f>
        <v/>
      </c>
      <c r="G357" s="13" t="str">
        <f>IF(A357="","",IF(E357=Agendamento!$C$7,"x",""))</f>
        <v/>
      </c>
      <c r="H357" s="13" t="str">
        <f>IF(A357="","",IF(AND(Agendamento!$C$3="",Agendamento!$C$7&lt;&gt;""),IF(Agendamento!$C$7='Base de Dados'!E357,"x",""),IF(AND(Agendamento!$C$3&lt;&gt;"",Agendamento!$C$7=""),IF(Agendamento!$C$3='Base de Dados'!A357,"x",""),IF(AND(Agendamento!$C$3='Base de Dados'!A357,'Base de Dados'!E357=Agendamento!$C$7),"x",""))))</f>
        <v/>
      </c>
      <c r="I357" s="13" t="str">
        <f>IF(H357="x",COUNT($I$1:I356)+1,"")</f>
        <v/>
      </c>
    </row>
    <row r="358" spans="1:9" x14ac:dyDescent="0.25">
      <c r="A358" s="27"/>
      <c r="B358" s="28"/>
      <c r="C358" s="29"/>
      <c r="D358" s="29"/>
      <c r="E358" s="28"/>
      <c r="F358" s="13" t="str">
        <f>IF(A358="","",IF(A358=Agendamento!$C$3,"x",""))</f>
        <v/>
      </c>
      <c r="G358" s="13" t="str">
        <f>IF(A358="","",IF(E358=Agendamento!$C$7,"x",""))</f>
        <v/>
      </c>
      <c r="H358" s="13" t="str">
        <f>IF(A358="","",IF(AND(Agendamento!$C$3="",Agendamento!$C$7&lt;&gt;""),IF(Agendamento!$C$7='Base de Dados'!E358,"x",""),IF(AND(Agendamento!$C$3&lt;&gt;"",Agendamento!$C$7=""),IF(Agendamento!$C$3='Base de Dados'!A358,"x",""),IF(AND(Agendamento!$C$3='Base de Dados'!A358,'Base de Dados'!E358=Agendamento!$C$7),"x",""))))</f>
        <v/>
      </c>
      <c r="I358" s="13" t="str">
        <f>IF(H358="x",COUNT($I$1:I357)+1,"")</f>
        <v/>
      </c>
    </row>
    <row r="359" spans="1:9" x14ac:dyDescent="0.25">
      <c r="A359" s="27"/>
      <c r="B359" s="28"/>
      <c r="C359" s="29"/>
      <c r="D359" s="29"/>
      <c r="E359" s="28"/>
      <c r="F359" s="13" t="str">
        <f>IF(A359="","",IF(A359=Agendamento!$C$3,"x",""))</f>
        <v/>
      </c>
      <c r="G359" s="13" t="str">
        <f>IF(A359="","",IF(E359=Agendamento!$C$7,"x",""))</f>
        <v/>
      </c>
      <c r="H359" s="13" t="str">
        <f>IF(A359="","",IF(AND(Agendamento!$C$3="",Agendamento!$C$7&lt;&gt;""),IF(Agendamento!$C$7='Base de Dados'!E359,"x",""),IF(AND(Agendamento!$C$3&lt;&gt;"",Agendamento!$C$7=""),IF(Agendamento!$C$3='Base de Dados'!A359,"x",""),IF(AND(Agendamento!$C$3='Base de Dados'!A359,'Base de Dados'!E359=Agendamento!$C$7),"x",""))))</f>
        <v/>
      </c>
      <c r="I359" s="13" t="str">
        <f>IF(H359="x",COUNT($I$1:I358)+1,"")</f>
        <v/>
      </c>
    </row>
    <row r="360" spans="1:9" x14ac:dyDescent="0.25">
      <c r="A360" s="27"/>
      <c r="B360" s="28"/>
      <c r="C360" s="29"/>
      <c r="D360" s="29"/>
      <c r="E360" s="28"/>
      <c r="F360" s="13" t="str">
        <f>IF(A360="","",IF(A360=Agendamento!$C$3,"x",""))</f>
        <v/>
      </c>
      <c r="G360" s="13" t="str">
        <f>IF(A360="","",IF(E360=Agendamento!$C$7,"x",""))</f>
        <v/>
      </c>
      <c r="H360" s="13" t="str">
        <f>IF(A360="","",IF(AND(Agendamento!$C$3="",Agendamento!$C$7&lt;&gt;""),IF(Agendamento!$C$7='Base de Dados'!E360,"x",""),IF(AND(Agendamento!$C$3&lt;&gt;"",Agendamento!$C$7=""),IF(Agendamento!$C$3='Base de Dados'!A360,"x",""),IF(AND(Agendamento!$C$3='Base de Dados'!A360,'Base de Dados'!E360=Agendamento!$C$7),"x",""))))</f>
        <v/>
      </c>
      <c r="I360" s="13" t="str">
        <f>IF(H360="x",COUNT($I$1:I359)+1,"")</f>
        <v/>
      </c>
    </row>
    <row r="361" spans="1:9" x14ac:dyDescent="0.25">
      <c r="A361" s="27"/>
      <c r="B361" s="28"/>
      <c r="C361" s="29"/>
      <c r="D361" s="29"/>
      <c r="E361" s="28"/>
      <c r="F361" s="13" t="str">
        <f>IF(A361="","",IF(A361=Agendamento!$C$3,"x",""))</f>
        <v/>
      </c>
      <c r="G361" s="13" t="str">
        <f>IF(A361="","",IF(E361=Agendamento!$C$7,"x",""))</f>
        <v/>
      </c>
      <c r="H361" s="13" t="str">
        <f>IF(A361="","",IF(AND(Agendamento!$C$3="",Agendamento!$C$7&lt;&gt;""),IF(Agendamento!$C$7='Base de Dados'!E361,"x",""),IF(AND(Agendamento!$C$3&lt;&gt;"",Agendamento!$C$7=""),IF(Agendamento!$C$3='Base de Dados'!A361,"x",""),IF(AND(Agendamento!$C$3='Base de Dados'!A361,'Base de Dados'!E361=Agendamento!$C$7),"x",""))))</f>
        <v/>
      </c>
      <c r="I361" s="13" t="str">
        <f>IF(H361="x",COUNT($I$1:I360)+1,"")</f>
        <v/>
      </c>
    </row>
    <row r="362" spans="1:9" x14ac:dyDescent="0.25">
      <c r="A362" s="27"/>
      <c r="B362" s="28"/>
      <c r="C362" s="29"/>
      <c r="D362" s="29"/>
      <c r="E362" s="28"/>
      <c r="F362" s="13" t="str">
        <f>IF(A362="","",IF(A362=Agendamento!$C$3,"x",""))</f>
        <v/>
      </c>
      <c r="G362" s="13" t="str">
        <f>IF(A362="","",IF(E362=Agendamento!$C$7,"x",""))</f>
        <v/>
      </c>
      <c r="H362" s="13" t="str">
        <f>IF(A362="","",IF(AND(Agendamento!$C$3="",Agendamento!$C$7&lt;&gt;""),IF(Agendamento!$C$7='Base de Dados'!E362,"x",""),IF(AND(Agendamento!$C$3&lt;&gt;"",Agendamento!$C$7=""),IF(Agendamento!$C$3='Base de Dados'!A362,"x",""),IF(AND(Agendamento!$C$3='Base de Dados'!A362,'Base de Dados'!E362=Agendamento!$C$7),"x",""))))</f>
        <v/>
      </c>
      <c r="I362" s="13" t="str">
        <f>IF(H362="x",COUNT($I$1:I361)+1,"")</f>
        <v/>
      </c>
    </row>
    <row r="363" spans="1:9" x14ac:dyDescent="0.25">
      <c r="A363" s="27"/>
      <c r="B363" s="28"/>
      <c r="C363" s="29"/>
      <c r="D363" s="29"/>
      <c r="E363" s="28"/>
      <c r="F363" s="13" t="str">
        <f>IF(A363="","",IF(A363=Agendamento!$C$3,"x",""))</f>
        <v/>
      </c>
      <c r="G363" s="13" t="str">
        <f>IF(A363="","",IF(E363=Agendamento!$C$7,"x",""))</f>
        <v/>
      </c>
      <c r="H363" s="13" t="str">
        <f>IF(A363="","",IF(AND(Agendamento!$C$3="",Agendamento!$C$7&lt;&gt;""),IF(Agendamento!$C$7='Base de Dados'!E363,"x",""),IF(AND(Agendamento!$C$3&lt;&gt;"",Agendamento!$C$7=""),IF(Agendamento!$C$3='Base de Dados'!A363,"x",""),IF(AND(Agendamento!$C$3='Base de Dados'!A363,'Base de Dados'!E363=Agendamento!$C$7),"x",""))))</f>
        <v/>
      </c>
      <c r="I363" s="13" t="str">
        <f>IF(H363="x",COUNT($I$1:I362)+1,"")</f>
        <v/>
      </c>
    </row>
    <row r="364" spans="1:9" x14ac:dyDescent="0.25">
      <c r="A364" s="27"/>
      <c r="B364" s="28"/>
      <c r="C364" s="29"/>
      <c r="D364" s="29"/>
      <c r="E364" s="28"/>
      <c r="F364" s="13" t="str">
        <f>IF(A364="","",IF(A364=Agendamento!$C$3,"x",""))</f>
        <v/>
      </c>
      <c r="G364" s="13" t="str">
        <f>IF(A364="","",IF(E364=Agendamento!$C$7,"x",""))</f>
        <v/>
      </c>
      <c r="H364" s="13" t="str">
        <f>IF(A364="","",IF(AND(Agendamento!$C$3="",Agendamento!$C$7&lt;&gt;""),IF(Agendamento!$C$7='Base de Dados'!E364,"x",""),IF(AND(Agendamento!$C$3&lt;&gt;"",Agendamento!$C$7=""),IF(Agendamento!$C$3='Base de Dados'!A364,"x",""),IF(AND(Agendamento!$C$3='Base de Dados'!A364,'Base de Dados'!E364=Agendamento!$C$7),"x",""))))</f>
        <v/>
      </c>
      <c r="I364" s="13" t="str">
        <f>IF(H364="x",COUNT($I$1:I363)+1,"")</f>
        <v/>
      </c>
    </row>
    <row r="365" spans="1:9" x14ac:dyDescent="0.25">
      <c r="A365" s="27"/>
      <c r="B365" s="28"/>
      <c r="C365" s="29"/>
      <c r="D365" s="29"/>
      <c r="E365" s="28"/>
      <c r="F365" s="13" t="str">
        <f>IF(A365="","",IF(A365=Agendamento!$C$3,"x",""))</f>
        <v/>
      </c>
      <c r="G365" s="13" t="str">
        <f>IF(A365="","",IF(E365=Agendamento!$C$7,"x",""))</f>
        <v/>
      </c>
      <c r="H365" s="13" t="str">
        <f>IF(A365="","",IF(AND(Agendamento!$C$3="",Agendamento!$C$7&lt;&gt;""),IF(Agendamento!$C$7='Base de Dados'!E365,"x",""),IF(AND(Agendamento!$C$3&lt;&gt;"",Agendamento!$C$7=""),IF(Agendamento!$C$3='Base de Dados'!A365,"x",""),IF(AND(Agendamento!$C$3='Base de Dados'!A365,'Base de Dados'!E365=Agendamento!$C$7),"x",""))))</f>
        <v/>
      </c>
      <c r="I365" s="13" t="str">
        <f>IF(H365="x",COUNT($I$1:I364)+1,"")</f>
        <v/>
      </c>
    </row>
    <row r="366" spans="1:9" x14ac:dyDescent="0.25">
      <c r="A366" s="27"/>
      <c r="B366" s="28"/>
      <c r="C366" s="29"/>
      <c r="D366" s="29"/>
      <c r="E366" s="28"/>
      <c r="F366" s="13" t="str">
        <f>IF(A366="","",IF(A366=Agendamento!$C$3,"x",""))</f>
        <v/>
      </c>
      <c r="G366" s="13" t="str">
        <f>IF(A366="","",IF(E366=Agendamento!$C$7,"x",""))</f>
        <v/>
      </c>
      <c r="H366" s="13" t="str">
        <f>IF(A366="","",IF(AND(Agendamento!$C$3="",Agendamento!$C$7&lt;&gt;""),IF(Agendamento!$C$7='Base de Dados'!E366,"x",""),IF(AND(Agendamento!$C$3&lt;&gt;"",Agendamento!$C$7=""),IF(Agendamento!$C$3='Base de Dados'!A366,"x",""),IF(AND(Agendamento!$C$3='Base de Dados'!A366,'Base de Dados'!E366=Agendamento!$C$7),"x",""))))</f>
        <v/>
      </c>
      <c r="I366" s="13" t="str">
        <f>IF(H366="x",COUNT($I$1:I365)+1,"")</f>
        <v/>
      </c>
    </row>
    <row r="367" spans="1:9" x14ac:dyDescent="0.25">
      <c r="A367" s="27"/>
      <c r="B367" s="28"/>
      <c r="C367" s="29"/>
      <c r="D367" s="29"/>
      <c r="E367" s="28"/>
      <c r="F367" s="13" t="str">
        <f>IF(A367="","",IF(A367=Agendamento!$C$3,"x",""))</f>
        <v/>
      </c>
      <c r="G367" s="13" t="str">
        <f>IF(A367="","",IF(E367=Agendamento!$C$7,"x",""))</f>
        <v/>
      </c>
      <c r="H367" s="13" t="str">
        <f>IF(A367="","",IF(AND(Agendamento!$C$3="",Agendamento!$C$7&lt;&gt;""),IF(Agendamento!$C$7='Base de Dados'!E367,"x",""),IF(AND(Agendamento!$C$3&lt;&gt;"",Agendamento!$C$7=""),IF(Agendamento!$C$3='Base de Dados'!A367,"x",""),IF(AND(Agendamento!$C$3='Base de Dados'!A367,'Base de Dados'!E367=Agendamento!$C$7),"x",""))))</f>
        <v/>
      </c>
      <c r="I367" s="13" t="str">
        <f>IF(H367="x",COUNT($I$1:I366)+1,"")</f>
        <v/>
      </c>
    </row>
    <row r="368" spans="1:9" x14ac:dyDescent="0.25">
      <c r="A368" s="27"/>
      <c r="B368" s="28"/>
      <c r="C368" s="29"/>
      <c r="D368" s="29"/>
      <c r="E368" s="28"/>
      <c r="F368" s="13" t="str">
        <f>IF(A368="","",IF(A368=Agendamento!$C$3,"x",""))</f>
        <v/>
      </c>
      <c r="G368" s="13" t="str">
        <f>IF(A368="","",IF(E368=Agendamento!$C$7,"x",""))</f>
        <v/>
      </c>
      <c r="H368" s="13" t="str">
        <f>IF(A368="","",IF(AND(Agendamento!$C$3="",Agendamento!$C$7&lt;&gt;""),IF(Agendamento!$C$7='Base de Dados'!E368,"x",""),IF(AND(Agendamento!$C$3&lt;&gt;"",Agendamento!$C$7=""),IF(Agendamento!$C$3='Base de Dados'!A368,"x",""),IF(AND(Agendamento!$C$3='Base de Dados'!A368,'Base de Dados'!E368=Agendamento!$C$7),"x",""))))</f>
        <v/>
      </c>
      <c r="I368" s="13" t="str">
        <f>IF(H368="x",COUNT($I$1:I367)+1,"")</f>
        <v/>
      </c>
    </row>
    <row r="369" spans="1:9" x14ac:dyDescent="0.25">
      <c r="A369" s="27"/>
      <c r="B369" s="28"/>
      <c r="C369" s="29"/>
      <c r="D369" s="29"/>
      <c r="E369" s="28"/>
      <c r="F369" s="13" t="str">
        <f>IF(A369="","",IF(A369=Agendamento!$C$3,"x",""))</f>
        <v/>
      </c>
      <c r="G369" s="13" t="str">
        <f>IF(A369="","",IF(E369=Agendamento!$C$7,"x",""))</f>
        <v/>
      </c>
      <c r="H369" s="13" t="str">
        <f>IF(A369="","",IF(AND(Agendamento!$C$3="",Agendamento!$C$7&lt;&gt;""),IF(Agendamento!$C$7='Base de Dados'!E369,"x",""),IF(AND(Agendamento!$C$3&lt;&gt;"",Agendamento!$C$7=""),IF(Agendamento!$C$3='Base de Dados'!A369,"x",""),IF(AND(Agendamento!$C$3='Base de Dados'!A369,'Base de Dados'!E369=Agendamento!$C$7),"x",""))))</f>
        <v/>
      </c>
      <c r="I369" s="13" t="str">
        <f>IF(H369="x",COUNT($I$1:I368)+1,"")</f>
        <v/>
      </c>
    </row>
    <row r="370" spans="1:9" x14ac:dyDescent="0.25">
      <c r="A370" s="27"/>
      <c r="B370" s="28"/>
      <c r="C370" s="29"/>
      <c r="D370" s="29"/>
      <c r="E370" s="28"/>
      <c r="F370" s="13" t="str">
        <f>IF(A370="","",IF(A370=Agendamento!$C$3,"x",""))</f>
        <v/>
      </c>
      <c r="G370" s="13" t="str">
        <f>IF(A370="","",IF(E370=Agendamento!$C$7,"x",""))</f>
        <v/>
      </c>
      <c r="H370" s="13" t="str">
        <f>IF(A370="","",IF(AND(Agendamento!$C$3="",Agendamento!$C$7&lt;&gt;""),IF(Agendamento!$C$7='Base de Dados'!E370,"x",""),IF(AND(Agendamento!$C$3&lt;&gt;"",Agendamento!$C$7=""),IF(Agendamento!$C$3='Base de Dados'!A370,"x",""),IF(AND(Agendamento!$C$3='Base de Dados'!A370,'Base de Dados'!E370=Agendamento!$C$7),"x",""))))</f>
        <v/>
      </c>
      <c r="I370" s="13" t="str">
        <f>IF(H370="x",COUNT($I$1:I369)+1,"")</f>
        <v/>
      </c>
    </row>
    <row r="371" spans="1:9" x14ac:dyDescent="0.25">
      <c r="A371" s="27"/>
      <c r="B371" s="28"/>
      <c r="C371" s="29"/>
      <c r="D371" s="29"/>
      <c r="E371" s="28"/>
      <c r="F371" s="13" t="str">
        <f>IF(A371="","",IF(A371=Agendamento!$C$3,"x",""))</f>
        <v/>
      </c>
      <c r="G371" s="13" t="str">
        <f>IF(A371="","",IF(E371=Agendamento!$C$7,"x",""))</f>
        <v/>
      </c>
      <c r="H371" s="13" t="str">
        <f>IF(A371="","",IF(AND(Agendamento!$C$3="",Agendamento!$C$7&lt;&gt;""),IF(Agendamento!$C$7='Base de Dados'!E371,"x",""),IF(AND(Agendamento!$C$3&lt;&gt;"",Agendamento!$C$7=""),IF(Agendamento!$C$3='Base de Dados'!A371,"x",""),IF(AND(Agendamento!$C$3='Base de Dados'!A371,'Base de Dados'!E371=Agendamento!$C$7),"x",""))))</f>
        <v/>
      </c>
      <c r="I371" s="13" t="str">
        <f>IF(H371="x",COUNT($I$1:I370)+1,"")</f>
        <v/>
      </c>
    </row>
    <row r="372" spans="1:9" x14ac:dyDescent="0.25">
      <c r="A372" s="27"/>
      <c r="B372" s="28"/>
      <c r="C372" s="29"/>
      <c r="D372" s="29"/>
      <c r="E372" s="28"/>
      <c r="F372" s="13" t="str">
        <f>IF(A372="","",IF(A372=Agendamento!$C$3,"x",""))</f>
        <v/>
      </c>
      <c r="G372" s="13" t="str">
        <f>IF(A372="","",IF(E372=Agendamento!$C$7,"x",""))</f>
        <v/>
      </c>
      <c r="H372" s="13" t="str">
        <f>IF(A372="","",IF(AND(Agendamento!$C$3="",Agendamento!$C$7&lt;&gt;""),IF(Agendamento!$C$7='Base de Dados'!E372,"x",""),IF(AND(Agendamento!$C$3&lt;&gt;"",Agendamento!$C$7=""),IF(Agendamento!$C$3='Base de Dados'!A372,"x",""),IF(AND(Agendamento!$C$3='Base de Dados'!A372,'Base de Dados'!E372=Agendamento!$C$7),"x",""))))</f>
        <v/>
      </c>
      <c r="I372" s="13" t="str">
        <f>IF(H372="x",COUNT($I$1:I371)+1,"")</f>
        <v/>
      </c>
    </row>
    <row r="373" spans="1:9" x14ac:dyDescent="0.25">
      <c r="A373" s="27"/>
      <c r="B373" s="28"/>
      <c r="C373" s="29"/>
      <c r="D373" s="29"/>
      <c r="E373" s="28"/>
      <c r="F373" s="13" t="str">
        <f>IF(A373="","",IF(A373=Agendamento!$C$3,"x",""))</f>
        <v/>
      </c>
      <c r="G373" s="13" t="str">
        <f>IF(A373="","",IF(E373=Agendamento!$C$7,"x",""))</f>
        <v/>
      </c>
      <c r="H373" s="13" t="str">
        <f>IF(A373="","",IF(AND(Agendamento!$C$3="",Agendamento!$C$7&lt;&gt;""),IF(Agendamento!$C$7='Base de Dados'!E373,"x",""),IF(AND(Agendamento!$C$3&lt;&gt;"",Agendamento!$C$7=""),IF(Agendamento!$C$3='Base de Dados'!A373,"x",""),IF(AND(Agendamento!$C$3='Base de Dados'!A373,'Base de Dados'!E373=Agendamento!$C$7),"x",""))))</f>
        <v/>
      </c>
      <c r="I373" s="13" t="str">
        <f>IF(H373="x",COUNT($I$1:I372)+1,"")</f>
        <v/>
      </c>
    </row>
    <row r="374" spans="1:9" x14ac:dyDescent="0.25">
      <c r="A374" s="27"/>
      <c r="B374" s="28"/>
      <c r="C374" s="29"/>
      <c r="D374" s="29"/>
      <c r="E374" s="28"/>
      <c r="F374" s="13" t="str">
        <f>IF(A374="","",IF(A374=Agendamento!$C$3,"x",""))</f>
        <v/>
      </c>
      <c r="G374" s="13" t="str">
        <f>IF(A374="","",IF(E374=Agendamento!$C$7,"x",""))</f>
        <v/>
      </c>
      <c r="H374" s="13" t="str">
        <f>IF(A374="","",IF(AND(Agendamento!$C$3="",Agendamento!$C$7&lt;&gt;""),IF(Agendamento!$C$7='Base de Dados'!E374,"x",""),IF(AND(Agendamento!$C$3&lt;&gt;"",Agendamento!$C$7=""),IF(Agendamento!$C$3='Base de Dados'!A374,"x",""),IF(AND(Agendamento!$C$3='Base de Dados'!A374,'Base de Dados'!E374=Agendamento!$C$7),"x",""))))</f>
        <v/>
      </c>
      <c r="I374" s="13" t="str">
        <f>IF(H374="x",COUNT($I$1:I373)+1,"")</f>
        <v/>
      </c>
    </row>
    <row r="375" spans="1:9" x14ac:dyDescent="0.25">
      <c r="A375" s="27"/>
      <c r="B375" s="28"/>
      <c r="C375" s="29"/>
      <c r="D375" s="29"/>
      <c r="E375" s="28"/>
      <c r="F375" s="13" t="str">
        <f>IF(A375="","",IF(A375=Agendamento!$C$3,"x",""))</f>
        <v/>
      </c>
      <c r="G375" s="13" t="str">
        <f>IF(A375="","",IF(E375=Agendamento!$C$7,"x",""))</f>
        <v/>
      </c>
      <c r="H375" s="13" t="str">
        <f>IF(A375="","",IF(AND(Agendamento!$C$3="",Agendamento!$C$7&lt;&gt;""),IF(Agendamento!$C$7='Base de Dados'!E375,"x",""),IF(AND(Agendamento!$C$3&lt;&gt;"",Agendamento!$C$7=""),IF(Agendamento!$C$3='Base de Dados'!A375,"x",""),IF(AND(Agendamento!$C$3='Base de Dados'!A375,'Base de Dados'!E375=Agendamento!$C$7),"x",""))))</f>
        <v/>
      </c>
      <c r="I375" s="13" t="str">
        <f>IF(H375="x",COUNT($I$1:I374)+1,"")</f>
        <v/>
      </c>
    </row>
    <row r="376" spans="1:9" x14ac:dyDescent="0.25">
      <c r="A376" s="27"/>
      <c r="B376" s="28"/>
      <c r="C376" s="29"/>
      <c r="D376" s="29"/>
      <c r="E376" s="28"/>
      <c r="F376" s="13" t="str">
        <f>IF(A376="","",IF(A376=Agendamento!$C$3,"x",""))</f>
        <v/>
      </c>
      <c r="G376" s="13" t="str">
        <f>IF(A376="","",IF(E376=Agendamento!$C$7,"x",""))</f>
        <v/>
      </c>
      <c r="H376" s="13" t="str">
        <f>IF(A376="","",IF(AND(Agendamento!$C$3="",Agendamento!$C$7&lt;&gt;""),IF(Agendamento!$C$7='Base de Dados'!E376,"x",""),IF(AND(Agendamento!$C$3&lt;&gt;"",Agendamento!$C$7=""),IF(Agendamento!$C$3='Base de Dados'!A376,"x",""),IF(AND(Agendamento!$C$3='Base de Dados'!A376,'Base de Dados'!E376=Agendamento!$C$7),"x",""))))</f>
        <v/>
      </c>
      <c r="I376" s="13" t="str">
        <f>IF(H376="x",COUNT($I$1:I375)+1,"")</f>
        <v/>
      </c>
    </row>
    <row r="377" spans="1:9" x14ac:dyDescent="0.25">
      <c r="A377" s="27"/>
      <c r="B377" s="28"/>
      <c r="C377" s="29"/>
      <c r="D377" s="29"/>
      <c r="E377" s="28"/>
      <c r="F377" s="13" t="str">
        <f>IF(A377="","",IF(A377=Agendamento!$C$3,"x",""))</f>
        <v/>
      </c>
      <c r="G377" s="13" t="str">
        <f>IF(A377="","",IF(E377=Agendamento!$C$7,"x",""))</f>
        <v/>
      </c>
      <c r="H377" s="13" t="str">
        <f>IF(A377="","",IF(AND(Agendamento!$C$3="",Agendamento!$C$7&lt;&gt;""),IF(Agendamento!$C$7='Base de Dados'!E377,"x",""),IF(AND(Agendamento!$C$3&lt;&gt;"",Agendamento!$C$7=""),IF(Agendamento!$C$3='Base de Dados'!A377,"x",""),IF(AND(Agendamento!$C$3='Base de Dados'!A377,'Base de Dados'!E377=Agendamento!$C$7),"x",""))))</f>
        <v/>
      </c>
      <c r="I377" s="13" t="str">
        <f>IF(H377="x",COUNT($I$1:I376)+1,"")</f>
        <v/>
      </c>
    </row>
    <row r="378" spans="1:9" x14ac:dyDescent="0.25">
      <c r="A378" s="27"/>
      <c r="B378" s="28"/>
      <c r="C378" s="29"/>
      <c r="D378" s="29"/>
      <c r="E378" s="28"/>
      <c r="F378" s="13" t="str">
        <f>IF(A378="","",IF(A378=Agendamento!$C$3,"x",""))</f>
        <v/>
      </c>
      <c r="G378" s="13" t="str">
        <f>IF(A378="","",IF(E378=Agendamento!$C$7,"x",""))</f>
        <v/>
      </c>
      <c r="H378" s="13" t="str">
        <f>IF(A378="","",IF(AND(Agendamento!$C$3="",Agendamento!$C$7&lt;&gt;""),IF(Agendamento!$C$7='Base de Dados'!E378,"x",""),IF(AND(Agendamento!$C$3&lt;&gt;"",Agendamento!$C$7=""),IF(Agendamento!$C$3='Base de Dados'!A378,"x",""),IF(AND(Agendamento!$C$3='Base de Dados'!A378,'Base de Dados'!E378=Agendamento!$C$7),"x",""))))</f>
        <v/>
      </c>
      <c r="I378" s="13" t="str">
        <f>IF(H378="x",COUNT($I$1:I377)+1,"")</f>
        <v/>
      </c>
    </row>
    <row r="379" spans="1:9" x14ac:dyDescent="0.25">
      <c r="A379" s="27"/>
      <c r="B379" s="28"/>
      <c r="C379" s="29"/>
      <c r="D379" s="29"/>
      <c r="E379" s="28"/>
      <c r="F379" s="13" t="str">
        <f>IF(A379="","",IF(A379=Agendamento!$C$3,"x",""))</f>
        <v/>
      </c>
      <c r="G379" s="13" t="str">
        <f>IF(A379="","",IF(E379=Agendamento!$C$7,"x",""))</f>
        <v/>
      </c>
      <c r="H379" s="13" t="str">
        <f>IF(A379="","",IF(AND(Agendamento!$C$3="",Agendamento!$C$7&lt;&gt;""),IF(Agendamento!$C$7='Base de Dados'!E379,"x",""),IF(AND(Agendamento!$C$3&lt;&gt;"",Agendamento!$C$7=""),IF(Agendamento!$C$3='Base de Dados'!A379,"x",""),IF(AND(Agendamento!$C$3='Base de Dados'!A379,'Base de Dados'!E379=Agendamento!$C$7),"x",""))))</f>
        <v/>
      </c>
      <c r="I379" s="13" t="str">
        <f>IF(H379="x",COUNT($I$1:I378)+1,"")</f>
        <v/>
      </c>
    </row>
    <row r="380" spans="1:9" x14ac:dyDescent="0.25">
      <c r="A380" s="27"/>
      <c r="B380" s="28"/>
      <c r="C380" s="29"/>
      <c r="D380" s="29"/>
      <c r="E380" s="28"/>
      <c r="F380" s="13" t="str">
        <f>IF(A380="","",IF(A380=Agendamento!$C$3,"x",""))</f>
        <v/>
      </c>
      <c r="G380" s="13" t="str">
        <f>IF(A380="","",IF(E380=Agendamento!$C$7,"x",""))</f>
        <v/>
      </c>
      <c r="H380" s="13" t="str">
        <f>IF(A380="","",IF(AND(Agendamento!$C$3="",Agendamento!$C$7&lt;&gt;""),IF(Agendamento!$C$7='Base de Dados'!E380,"x",""),IF(AND(Agendamento!$C$3&lt;&gt;"",Agendamento!$C$7=""),IF(Agendamento!$C$3='Base de Dados'!A380,"x",""),IF(AND(Agendamento!$C$3='Base de Dados'!A380,'Base de Dados'!E380=Agendamento!$C$7),"x",""))))</f>
        <v/>
      </c>
      <c r="I380" s="13" t="str">
        <f>IF(H380="x",COUNT($I$1:I379)+1,"")</f>
        <v/>
      </c>
    </row>
    <row r="381" spans="1:9" x14ac:dyDescent="0.25">
      <c r="A381" s="27"/>
      <c r="B381" s="28"/>
      <c r="C381" s="29"/>
      <c r="D381" s="29"/>
      <c r="E381" s="28"/>
      <c r="F381" s="13" t="str">
        <f>IF(A381="","",IF(A381=Agendamento!$C$3,"x",""))</f>
        <v/>
      </c>
      <c r="G381" s="13" t="str">
        <f>IF(A381="","",IF(E381=Agendamento!$C$7,"x",""))</f>
        <v/>
      </c>
      <c r="H381" s="13" t="str">
        <f>IF(A381="","",IF(AND(Agendamento!$C$3="",Agendamento!$C$7&lt;&gt;""),IF(Agendamento!$C$7='Base de Dados'!E381,"x",""),IF(AND(Agendamento!$C$3&lt;&gt;"",Agendamento!$C$7=""),IF(Agendamento!$C$3='Base de Dados'!A381,"x",""),IF(AND(Agendamento!$C$3='Base de Dados'!A381,'Base de Dados'!E381=Agendamento!$C$7),"x",""))))</f>
        <v/>
      </c>
      <c r="I381" s="13" t="str">
        <f>IF(H381="x",COUNT($I$1:I380)+1,"")</f>
        <v/>
      </c>
    </row>
    <row r="382" spans="1:9" x14ac:dyDescent="0.25">
      <c r="A382" s="27"/>
      <c r="B382" s="28"/>
      <c r="C382" s="29"/>
      <c r="D382" s="29"/>
      <c r="E382" s="28"/>
      <c r="F382" s="13" t="str">
        <f>IF(A382="","",IF(A382=Agendamento!$C$3,"x",""))</f>
        <v/>
      </c>
      <c r="G382" s="13" t="str">
        <f>IF(A382="","",IF(E382=Agendamento!$C$7,"x",""))</f>
        <v/>
      </c>
      <c r="H382" s="13" t="str">
        <f>IF(A382="","",IF(AND(Agendamento!$C$3="",Agendamento!$C$7&lt;&gt;""),IF(Agendamento!$C$7='Base de Dados'!E382,"x",""),IF(AND(Agendamento!$C$3&lt;&gt;"",Agendamento!$C$7=""),IF(Agendamento!$C$3='Base de Dados'!A382,"x",""),IF(AND(Agendamento!$C$3='Base de Dados'!A382,'Base de Dados'!E382=Agendamento!$C$7),"x",""))))</f>
        <v/>
      </c>
      <c r="I382" s="13" t="str">
        <f>IF(H382="x",COUNT($I$1:I381)+1,"")</f>
        <v/>
      </c>
    </row>
    <row r="383" spans="1:9" x14ac:dyDescent="0.25">
      <c r="A383" s="27"/>
      <c r="B383" s="28"/>
      <c r="C383" s="29"/>
      <c r="D383" s="29"/>
      <c r="E383" s="28"/>
      <c r="F383" s="13" t="str">
        <f>IF(A383="","",IF(A383=Agendamento!$C$3,"x",""))</f>
        <v/>
      </c>
      <c r="G383" s="13" t="str">
        <f>IF(A383="","",IF(E383=Agendamento!$C$7,"x",""))</f>
        <v/>
      </c>
      <c r="H383" s="13" t="str">
        <f>IF(A383="","",IF(AND(Agendamento!$C$3="",Agendamento!$C$7&lt;&gt;""),IF(Agendamento!$C$7='Base de Dados'!E383,"x",""),IF(AND(Agendamento!$C$3&lt;&gt;"",Agendamento!$C$7=""),IF(Agendamento!$C$3='Base de Dados'!A383,"x",""),IF(AND(Agendamento!$C$3='Base de Dados'!A383,'Base de Dados'!E383=Agendamento!$C$7),"x",""))))</f>
        <v/>
      </c>
      <c r="I383" s="13" t="str">
        <f>IF(H383="x",COUNT($I$1:I382)+1,"")</f>
        <v/>
      </c>
    </row>
    <row r="384" spans="1:9" x14ac:dyDescent="0.25">
      <c r="A384" s="27"/>
      <c r="B384" s="28"/>
      <c r="C384" s="29"/>
      <c r="D384" s="29"/>
      <c r="E384" s="28"/>
      <c r="F384" s="13" t="str">
        <f>IF(A384="","",IF(A384=Agendamento!$C$3,"x",""))</f>
        <v/>
      </c>
      <c r="G384" s="13" t="str">
        <f>IF(A384="","",IF(E384=Agendamento!$C$7,"x",""))</f>
        <v/>
      </c>
      <c r="H384" s="13" t="str">
        <f>IF(A384="","",IF(AND(Agendamento!$C$3="",Agendamento!$C$7&lt;&gt;""),IF(Agendamento!$C$7='Base de Dados'!E384,"x",""),IF(AND(Agendamento!$C$3&lt;&gt;"",Agendamento!$C$7=""),IF(Agendamento!$C$3='Base de Dados'!A384,"x",""),IF(AND(Agendamento!$C$3='Base de Dados'!A384,'Base de Dados'!E384=Agendamento!$C$7),"x",""))))</f>
        <v/>
      </c>
      <c r="I384" s="13" t="str">
        <f>IF(H384="x",COUNT($I$1:I383)+1,"")</f>
        <v/>
      </c>
    </row>
    <row r="385" spans="1:9" x14ac:dyDescent="0.25">
      <c r="A385" s="27"/>
      <c r="B385" s="28"/>
      <c r="C385" s="29"/>
      <c r="D385" s="29"/>
      <c r="E385" s="28"/>
      <c r="F385" s="13" t="str">
        <f>IF(A385="","",IF(A385=Agendamento!$C$3,"x",""))</f>
        <v/>
      </c>
      <c r="G385" s="13" t="str">
        <f>IF(A385="","",IF(E385=Agendamento!$C$7,"x",""))</f>
        <v/>
      </c>
      <c r="H385" s="13" t="str">
        <f>IF(A385="","",IF(AND(Agendamento!$C$3="",Agendamento!$C$7&lt;&gt;""),IF(Agendamento!$C$7='Base de Dados'!E385,"x",""),IF(AND(Agendamento!$C$3&lt;&gt;"",Agendamento!$C$7=""),IF(Agendamento!$C$3='Base de Dados'!A385,"x",""),IF(AND(Agendamento!$C$3='Base de Dados'!A385,'Base de Dados'!E385=Agendamento!$C$7),"x",""))))</f>
        <v/>
      </c>
      <c r="I385" s="13" t="str">
        <f>IF(H385="x",COUNT($I$1:I384)+1,"")</f>
        <v/>
      </c>
    </row>
    <row r="386" spans="1:9" x14ac:dyDescent="0.25">
      <c r="A386" s="27"/>
      <c r="B386" s="28"/>
      <c r="C386" s="29"/>
      <c r="D386" s="29"/>
      <c r="E386" s="28"/>
      <c r="F386" s="13" t="str">
        <f>IF(A386="","",IF(A386=Agendamento!$C$3,"x",""))</f>
        <v/>
      </c>
      <c r="G386" s="13" t="str">
        <f>IF(A386="","",IF(E386=Agendamento!$C$7,"x",""))</f>
        <v/>
      </c>
      <c r="H386" s="13" t="str">
        <f>IF(A386="","",IF(AND(Agendamento!$C$3="",Agendamento!$C$7&lt;&gt;""),IF(Agendamento!$C$7='Base de Dados'!E386,"x",""),IF(AND(Agendamento!$C$3&lt;&gt;"",Agendamento!$C$7=""),IF(Agendamento!$C$3='Base de Dados'!A386,"x",""),IF(AND(Agendamento!$C$3='Base de Dados'!A386,'Base de Dados'!E386=Agendamento!$C$7),"x",""))))</f>
        <v/>
      </c>
      <c r="I386" s="13" t="str">
        <f>IF(H386="x",COUNT($I$1:I385)+1,"")</f>
        <v/>
      </c>
    </row>
    <row r="387" spans="1:9" x14ac:dyDescent="0.25">
      <c r="A387" s="27"/>
      <c r="B387" s="28"/>
      <c r="C387" s="29"/>
      <c r="D387" s="29"/>
      <c r="E387" s="28"/>
      <c r="F387" s="13" t="str">
        <f>IF(A387="","",IF(A387=Agendamento!$C$3,"x",""))</f>
        <v/>
      </c>
      <c r="G387" s="13" t="str">
        <f>IF(A387="","",IF(E387=Agendamento!$C$7,"x",""))</f>
        <v/>
      </c>
      <c r="H387" s="13" t="str">
        <f>IF(A387="","",IF(AND(Agendamento!$C$3="",Agendamento!$C$7&lt;&gt;""),IF(Agendamento!$C$7='Base de Dados'!E387,"x",""),IF(AND(Agendamento!$C$3&lt;&gt;"",Agendamento!$C$7=""),IF(Agendamento!$C$3='Base de Dados'!A387,"x",""),IF(AND(Agendamento!$C$3='Base de Dados'!A387,'Base de Dados'!E387=Agendamento!$C$7),"x",""))))</f>
        <v/>
      </c>
      <c r="I387" s="13" t="str">
        <f>IF(H387="x",COUNT($I$1:I386)+1,"")</f>
        <v/>
      </c>
    </row>
    <row r="388" spans="1:9" x14ac:dyDescent="0.25">
      <c r="A388" s="27"/>
      <c r="B388" s="28"/>
      <c r="C388" s="29"/>
      <c r="D388" s="29"/>
      <c r="E388" s="28"/>
      <c r="F388" s="13" t="str">
        <f>IF(A388="","",IF(A388=Agendamento!$C$3,"x",""))</f>
        <v/>
      </c>
      <c r="G388" s="13" t="str">
        <f>IF(A388="","",IF(E388=Agendamento!$C$7,"x",""))</f>
        <v/>
      </c>
      <c r="H388" s="13" t="str">
        <f>IF(A388="","",IF(AND(Agendamento!$C$3="",Agendamento!$C$7&lt;&gt;""),IF(Agendamento!$C$7='Base de Dados'!E388,"x",""),IF(AND(Agendamento!$C$3&lt;&gt;"",Agendamento!$C$7=""),IF(Agendamento!$C$3='Base de Dados'!A388,"x",""),IF(AND(Agendamento!$C$3='Base de Dados'!A388,'Base de Dados'!E388=Agendamento!$C$7),"x",""))))</f>
        <v/>
      </c>
      <c r="I388" s="13" t="str">
        <f>IF(H388="x",COUNT($I$1:I387)+1,"")</f>
        <v/>
      </c>
    </row>
    <row r="389" spans="1:9" x14ac:dyDescent="0.25">
      <c r="A389" s="27"/>
      <c r="B389" s="28"/>
      <c r="C389" s="29"/>
      <c r="D389" s="29"/>
      <c r="E389" s="28"/>
      <c r="F389" s="13" t="str">
        <f>IF(A389="","",IF(A389=Agendamento!$C$3,"x",""))</f>
        <v/>
      </c>
      <c r="G389" s="13" t="str">
        <f>IF(A389="","",IF(E389=Agendamento!$C$7,"x",""))</f>
        <v/>
      </c>
      <c r="H389" s="13" t="str">
        <f>IF(A389="","",IF(AND(Agendamento!$C$3="",Agendamento!$C$7&lt;&gt;""),IF(Agendamento!$C$7='Base de Dados'!E389,"x",""),IF(AND(Agendamento!$C$3&lt;&gt;"",Agendamento!$C$7=""),IF(Agendamento!$C$3='Base de Dados'!A389,"x",""),IF(AND(Agendamento!$C$3='Base de Dados'!A389,'Base de Dados'!E389=Agendamento!$C$7),"x",""))))</f>
        <v/>
      </c>
      <c r="I389" s="13" t="str">
        <f>IF(H389="x",COUNT($I$1:I388)+1,"")</f>
        <v/>
      </c>
    </row>
    <row r="390" spans="1:9" x14ac:dyDescent="0.25">
      <c r="A390" s="27"/>
      <c r="B390" s="28"/>
      <c r="C390" s="29"/>
      <c r="D390" s="29"/>
      <c r="E390" s="28"/>
      <c r="F390" s="13" t="str">
        <f>IF(A390="","",IF(A390=Agendamento!$C$3,"x",""))</f>
        <v/>
      </c>
      <c r="G390" s="13" t="str">
        <f>IF(A390="","",IF(E390=Agendamento!$C$7,"x",""))</f>
        <v/>
      </c>
      <c r="H390" s="13" t="str">
        <f>IF(A390="","",IF(AND(Agendamento!$C$3="",Agendamento!$C$7&lt;&gt;""),IF(Agendamento!$C$7='Base de Dados'!E390,"x",""),IF(AND(Agendamento!$C$3&lt;&gt;"",Agendamento!$C$7=""),IF(Agendamento!$C$3='Base de Dados'!A390,"x",""),IF(AND(Agendamento!$C$3='Base de Dados'!A390,'Base de Dados'!E390=Agendamento!$C$7),"x",""))))</f>
        <v/>
      </c>
      <c r="I390" s="13" t="str">
        <f>IF(H390="x",COUNT($I$1:I389)+1,"")</f>
        <v/>
      </c>
    </row>
    <row r="391" spans="1:9" x14ac:dyDescent="0.25">
      <c r="A391" s="27"/>
      <c r="B391" s="28"/>
      <c r="C391" s="29"/>
      <c r="D391" s="29"/>
      <c r="E391" s="28"/>
      <c r="F391" s="13" t="str">
        <f>IF(A391="","",IF(A391=Agendamento!$C$3,"x",""))</f>
        <v/>
      </c>
      <c r="G391" s="13" t="str">
        <f>IF(A391="","",IF(E391=Agendamento!$C$7,"x",""))</f>
        <v/>
      </c>
      <c r="H391" s="13" t="str">
        <f>IF(A391="","",IF(AND(Agendamento!$C$3="",Agendamento!$C$7&lt;&gt;""),IF(Agendamento!$C$7='Base de Dados'!E391,"x",""),IF(AND(Agendamento!$C$3&lt;&gt;"",Agendamento!$C$7=""),IF(Agendamento!$C$3='Base de Dados'!A391,"x",""),IF(AND(Agendamento!$C$3='Base de Dados'!A391,'Base de Dados'!E391=Agendamento!$C$7),"x",""))))</f>
        <v/>
      </c>
      <c r="I391" s="13" t="str">
        <f>IF(H391="x",COUNT($I$1:I390)+1,"")</f>
        <v/>
      </c>
    </row>
    <row r="392" spans="1:9" x14ac:dyDescent="0.25">
      <c r="A392" s="27"/>
      <c r="B392" s="28"/>
      <c r="C392" s="29"/>
      <c r="D392" s="29"/>
      <c r="E392" s="28"/>
      <c r="F392" s="13" t="str">
        <f>IF(A392="","",IF(A392=Agendamento!$C$3,"x",""))</f>
        <v/>
      </c>
      <c r="G392" s="13" t="str">
        <f>IF(A392="","",IF(E392=Agendamento!$C$7,"x",""))</f>
        <v/>
      </c>
      <c r="H392" s="13" t="str">
        <f>IF(A392="","",IF(AND(Agendamento!$C$3="",Agendamento!$C$7&lt;&gt;""),IF(Agendamento!$C$7='Base de Dados'!E392,"x",""),IF(AND(Agendamento!$C$3&lt;&gt;"",Agendamento!$C$7=""),IF(Agendamento!$C$3='Base de Dados'!A392,"x",""),IF(AND(Agendamento!$C$3='Base de Dados'!A392,'Base de Dados'!E392=Agendamento!$C$7),"x",""))))</f>
        <v/>
      </c>
      <c r="I392" s="13" t="str">
        <f>IF(H392="x",COUNT($I$1:I391)+1,"")</f>
        <v/>
      </c>
    </row>
    <row r="393" spans="1:9" x14ac:dyDescent="0.25">
      <c r="A393" s="27"/>
      <c r="B393" s="28"/>
      <c r="C393" s="29"/>
      <c r="D393" s="29"/>
      <c r="E393" s="28"/>
      <c r="F393" s="13" t="str">
        <f>IF(A393="","",IF(A393=Agendamento!$C$3,"x",""))</f>
        <v/>
      </c>
      <c r="G393" s="13" t="str">
        <f>IF(A393="","",IF(E393=Agendamento!$C$7,"x",""))</f>
        <v/>
      </c>
      <c r="H393" s="13" t="str">
        <f>IF(A393="","",IF(AND(Agendamento!$C$3="",Agendamento!$C$7&lt;&gt;""),IF(Agendamento!$C$7='Base de Dados'!E393,"x",""),IF(AND(Agendamento!$C$3&lt;&gt;"",Agendamento!$C$7=""),IF(Agendamento!$C$3='Base de Dados'!A393,"x",""),IF(AND(Agendamento!$C$3='Base de Dados'!A393,'Base de Dados'!E393=Agendamento!$C$7),"x",""))))</f>
        <v/>
      </c>
      <c r="I393" s="13" t="str">
        <f>IF(H393="x",COUNT($I$1:I392)+1,"")</f>
        <v/>
      </c>
    </row>
    <row r="394" spans="1:9" x14ac:dyDescent="0.25">
      <c r="A394" s="27"/>
      <c r="B394" s="28"/>
      <c r="C394" s="29"/>
      <c r="D394" s="29"/>
      <c r="E394" s="28"/>
      <c r="F394" s="13" t="str">
        <f>IF(A394="","",IF(A394=Agendamento!$C$3,"x",""))</f>
        <v/>
      </c>
      <c r="G394" s="13" t="str">
        <f>IF(A394="","",IF(E394=Agendamento!$C$7,"x",""))</f>
        <v/>
      </c>
      <c r="H394" s="13" t="str">
        <f>IF(A394="","",IF(AND(Agendamento!$C$3="",Agendamento!$C$7&lt;&gt;""),IF(Agendamento!$C$7='Base de Dados'!E394,"x",""),IF(AND(Agendamento!$C$3&lt;&gt;"",Agendamento!$C$7=""),IF(Agendamento!$C$3='Base de Dados'!A394,"x",""),IF(AND(Agendamento!$C$3='Base de Dados'!A394,'Base de Dados'!E394=Agendamento!$C$7),"x",""))))</f>
        <v/>
      </c>
      <c r="I394" s="13" t="str">
        <f>IF(H394="x",COUNT($I$1:I393)+1,"")</f>
        <v/>
      </c>
    </row>
    <row r="395" spans="1:9" x14ac:dyDescent="0.25">
      <c r="A395" s="27"/>
      <c r="B395" s="28"/>
      <c r="C395" s="29"/>
      <c r="D395" s="29"/>
      <c r="E395" s="28"/>
      <c r="F395" s="13" t="str">
        <f>IF(A395="","",IF(A395=Agendamento!$C$3,"x",""))</f>
        <v/>
      </c>
      <c r="G395" s="13" t="str">
        <f>IF(A395="","",IF(E395=Agendamento!$C$7,"x",""))</f>
        <v/>
      </c>
      <c r="H395" s="13" t="str">
        <f>IF(A395="","",IF(AND(Agendamento!$C$3="",Agendamento!$C$7&lt;&gt;""),IF(Agendamento!$C$7='Base de Dados'!E395,"x",""),IF(AND(Agendamento!$C$3&lt;&gt;"",Agendamento!$C$7=""),IF(Agendamento!$C$3='Base de Dados'!A395,"x",""),IF(AND(Agendamento!$C$3='Base de Dados'!A395,'Base de Dados'!E395=Agendamento!$C$7),"x",""))))</f>
        <v/>
      </c>
      <c r="I395" s="13" t="str">
        <f>IF(H395="x",COUNT($I$1:I394)+1,"")</f>
        <v/>
      </c>
    </row>
    <row r="396" spans="1:9" x14ac:dyDescent="0.25">
      <c r="A396" s="27"/>
      <c r="B396" s="28"/>
      <c r="C396" s="29"/>
      <c r="D396" s="29"/>
      <c r="E396" s="28"/>
      <c r="F396" s="13" t="str">
        <f>IF(A396="","",IF(A396=Agendamento!$C$3,"x",""))</f>
        <v/>
      </c>
      <c r="G396" s="13" t="str">
        <f>IF(A396="","",IF(E396=Agendamento!$C$7,"x",""))</f>
        <v/>
      </c>
      <c r="H396" s="13" t="str">
        <f>IF(A396="","",IF(AND(Agendamento!$C$3="",Agendamento!$C$7&lt;&gt;""),IF(Agendamento!$C$7='Base de Dados'!E396,"x",""),IF(AND(Agendamento!$C$3&lt;&gt;"",Agendamento!$C$7=""),IF(Agendamento!$C$3='Base de Dados'!A396,"x",""),IF(AND(Agendamento!$C$3='Base de Dados'!A396,'Base de Dados'!E396=Agendamento!$C$7),"x",""))))</f>
        <v/>
      </c>
      <c r="I396" s="13" t="str">
        <f>IF(H396="x",COUNT($I$1:I395)+1,"")</f>
        <v/>
      </c>
    </row>
    <row r="397" spans="1:9" x14ac:dyDescent="0.25">
      <c r="A397" s="27"/>
      <c r="B397" s="28"/>
      <c r="C397" s="29"/>
      <c r="D397" s="29"/>
      <c r="E397" s="28"/>
      <c r="F397" s="13" t="str">
        <f>IF(A397="","",IF(A397=Agendamento!$C$3,"x",""))</f>
        <v/>
      </c>
      <c r="G397" s="13" t="str">
        <f>IF(A397="","",IF(E397=Agendamento!$C$7,"x",""))</f>
        <v/>
      </c>
      <c r="H397" s="13" t="str">
        <f>IF(A397="","",IF(AND(Agendamento!$C$3="",Agendamento!$C$7&lt;&gt;""),IF(Agendamento!$C$7='Base de Dados'!E397,"x",""),IF(AND(Agendamento!$C$3&lt;&gt;"",Agendamento!$C$7=""),IF(Agendamento!$C$3='Base de Dados'!A397,"x",""),IF(AND(Agendamento!$C$3='Base de Dados'!A397,'Base de Dados'!E397=Agendamento!$C$7),"x",""))))</f>
        <v/>
      </c>
      <c r="I397" s="13" t="str">
        <f>IF(H397="x",COUNT($I$1:I396)+1,"")</f>
        <v/>
      </c>
    </row>
    <row r="398" spans="1:9" x14ac:dyDescent="0.25">
      <c r="A398" s="27"/>
      <c r="B398" s="28"/>
      <c r="C398" s="29"/>
      <c r="D398" s="29"/>
      <c r="E398" s="28"/>
      <c r="F398" s="13" t="str">
        <f>IF(A398="","",IF(A398=Agendamento!$C$3,"x",""))</f>
        <v/>
      </c>
      <c r="G398" s="13" t="str">
        <f>IF(A398="","",IF(E398=Agendamento!$C$7,"x",""))</f>
        <v/>
      </c>
      <c r="H398" s="13" t="str">
        <f>IF(A398="","",IF(AND(Agendamento!$C$3="",Agendamento!$C$7&lt;&gt;""),IF(Agendamento!$C$7='Base de Dados'!E398,"x",""),IF(AND(Agendamento!$C$3&lt;&gt;"",Agendamento!$C$7=""),IF(Agendamento!$C$3='Base de Dados'!A398,"x",""),IF(AND(Agendamento!$C$3='Base de Dados'!A398,'Base de Dados'!E398=Agendamento!$C$7),"x",""))))</f>
        <v/>
      </c>
      <c r="I398" s="13" t="str">
        <f>IF(H398="x",COUNT($I$1:I397)+1,"")</f>
        <v/>
      </c>
    </row>
    <row r="399" spans="1:9" x14ac:dyDescent="0.25">
      <c r="A399" s="27"/>
      <c r="B399" s="28"/>
      <c r="C399" s="29"/>
      <c r="D399" s="29"/>
      <c r="E399" s="28"/>
      <c r="F399" s="13" t="str">
        <f>IF(A399="","",IF(A399=Agendamento!$C$3,"x",""))</f>
        <v/>
      </c>
      <c r="G399" s="13" t="str">
        <f>IF(A399="","",IF(E399=Agendamento!$C$7,"x",""))</f>
        <v/>
      </c>
      <c r="H399" s="13" t="str">
        <f>IF(A399="","",IF(AND(Agendamento!$C$3="",Agendamento!$C$7&lt;&gt;""),IF(Agendamento!$C$7='Base de Dados'!E399,"x",""),IF(AND(Agendamento!$C$3&lt;&gt;"",Agendamento!$C$7=""),IF(Agendamento!$C$3='Base de Dados'!A399,"x",""),IF(AND(Agendamento!$C$3='Base de Dados'!A399,'Base de Dados'!E399=Agendamento!$C$7),"x",""))))</f>
        <v/>
      </c>
      <c r="I399" s="13" t="str">
        <f>IF(H399="x",COUNT($I$1:I398)+1,"")</f>
        <v/>
      </c>
    </row>
    <row r="400" spans="1:9" x14ac:dyDescent="0.25">
      <c r="A400" s="27"/>
      <c r="B400" s="28"/>
      <c r="C400" s="29"/>
      <c r="D400" s="29"/>
      <c r="E400" s="28"/>
      <c r="F400" s="13" t="str">
        <f>IF(A400="","",IF(A400=Agendamento!$C$3,"x",""))</f>
        <v/>
      </c>
      <c r="G400" s="13" t="str">
        <f>IF(A400="","",IF(E400=Agendamento!$C$7,"x",""))</f>
        <v/>
      </c>
      <c r="H400" s="13" t="str">
        <f>IF(A400="","",IF(AND(Agendamento!$C$3="",Agendamento!$C$7&lt;&gt;""),IF(Agendamento!$C$7='Base de Dados'!E400,"x",""),IF(AND(Agendamento!$C$3&lt;&gt;"",Agendamento!$C$7=""),IF(Agendamento!$C$3='Base de Dados'!A400,"x",""),IF(AND(Agendamento!$C$3='Base de Dados'!A400,'Base de Dados'!E400=Agendamento!$C$7),"x",""))))</f>
        <v/>
      </c>
      <c r="I400" s="13" t="str">
        <f>IF(H400="x",COUNT($I$1:I399)+1,"")</f>
        <v/>
      </c>
    </row>
    <row r="401" spans="1:9" x14ac:dyDescent="0.25">
      <c r="A401" s="27"/>
      <c r="B401" s="28"/>
      <c r="C401" s="29"/>
      <c r="D401" s="29"/>
      <c r="E401" s="28"/>
      <c r="F401" s="13" t="str">
        <f>IF(A401="","",IF(A401=Agendamento!$C$3,"x",""))</f>
        <v/>
      </c>
      <c r="G401" s="13" t="str">
        <f>IF(A401="","",IF(E401=Agendamento!$C$7,"x",""))</f>
        <v/>
      </c>
      <c r="H401" s="13" t="str">
        <f>IF(A401="","",IF(AND(Agendamento!$C$3="",Agendamento!$C$7&lt;&gt;""),IF(Agendamento!$C$7='Base de Dados'!E401,"x",""),IF(AND(Agendamento!$C$3&lt;&gt;"",Agendamento!$C$7=""),IF(Agendamento!$C$3='Base de Dados'!A401,"x",""),IF(AND(Agendamento!$C$3='Base de Dados'!A401,'Base de Dados'!E401=Agendamento!$C$7),"x",""))))</f>
        <v/>
      </c>
      <c r="I401" s="13" t="str">
        <f>IF(H401="x",COUNT($I$1:I400)+1,"")</f>
        <v/>
      </c>
    </row>
    <row r="402" spans="1:9" x14ac:dyDescent="0.25">
      <c r="A402" s="27"/>
      <c r="B402" s="28"/>
      <c r="C402" s="29"/>
      <c r="D402" s="29"/>
      <c r="E402" s="28"/>
      <c r="F402" s="13" t="str">
        <f>IF(A402="","",IF(A402=Agendamento!$C$3,"x",""))</f>
        <v/>
      </c>
      <c r="G402" s="13" t="str">
        <f>IF(A402="","",IF(E402=Agendamento!$C$7,"x",""))</f>
        <v/>
      </c>
      <c r="H402" s="13" t="str">
        <f>IF(A402="","",IF(AND(Agendamento!$C$3="",Agendamento!$C$7&lt;&gt;""),IF(Agendamento!$C$7='Base de Dados'!E402,"x",""),IF(AND(Agendamento!$C$3&lt;&gt;"",Agendamento!$C$7=""),IF(Agendamento!$C$3='Base de Dados'!A402,"x",""),IF(AND(Agendamento!$C$3='Base de Dados'!A402,'Base de Dados'!E402=Agendamento!$C$7),"x",""))))</f>
        <v/>
      </c>
      <c r="I402" s="13" t="str">
        <f>IF(H402="x",COUNT($I$1:I401)+1,"")</f>
        <v/>
      </c>
    </row>
    <row r="403" spans="1:9" x14ac:dyDescent="0.25">
      <c r="A403" s="27"/>
      <c r="B403" s="28"/>
      <c r="C403" s="29"/>
      <c r="D403" s="29"/>
      <c r="E403" s="28"/>
      <c r="F403" s="13" t="str">
        <f>IF(A403="","",IF(A403=Agendamento!$C$3,"x",""))</f>
        <v/>
      </c>
      <c r="G403" s="13" t="str">
        <f>IF(A403="","",IF(E403=Agendamento!$C$7,"x",""))</f>
        <v/>
      </c>
      <c r="H403" s="13" t="str">
        <f>IF(A403="","",IF(AND(Agendamento!$C$3="",Agendamento!$C$7&lt;&gt;""),IF(Agendamento!$C$7='Base de Dados'!E403,"x",""),IF(AND(Agendamento!$C$3&lt;&gt;"",Agendamento!$C$7=""),IF(Agendamento!$C$3='Base de Dados'!A403,"x",""),IF(AND(Agendamento!$C$3='Base de Dados'!A403,'Base de Dados'!E403=Agendamento!$C$7),"x",""))))</f>
        <v/>
      </c>
      <c r="I403" s="13" t="str">
        <f>IF(H403="x",COUNT($I$1:I402)+1,"")</f>
        <v/>
      </c>
    </row>
    <row r="404" spans="1:9" x14ac:dyDescent="0.25">
      <c r="A404" s="27"/>
      <c r="B404" s="28"/>
      <c r="C404" s="29"/>
      <c r="D404" s="29"/>
      <c r="E404" s="28"/>
      <c r="F404" s="13" t="str">
        <f>IF(A404="","",IF(A404=Agendamento!$C$3,"x",""))</f>
        <v/>
      </c>
      <c r="G404" s="13" t="str">
        <f>IF(A404="","",IF(E404=Agendamento!$C$7,"x",""))</f>
        <v/>
      </c>
      <c r="H404" s="13" t="str">
        <f>IF(A404="","",IF(AND(Agendamento!$C$3="",Agendamento!$C$7&lt;&gt;""),IF(Agendamento!$C$7='Base de Dados'!E404,"x",""),IF(AND(Agendamento!$C$3&lt;&gt;"",Agendamento!$C$7=""),IF(Agendamento!$C$3='Base de Dados'!A404,"x",""),IF(AND(Agendamento!$C$3='Base de Dados'!A404,'Base de Dados'!E404=Agendamento!$C$7),"x",""))))</f>
        <v/>
      </c>
      <c r="I404" s="13" t="str">
        <f>IF(H404="x",COUNT($I$1:I403)+1,"")</f>
        <v/>
      </c>
    </row>
    <row r="405" spans="1:9" x14ac:dyDescent="0.25">
      <c r="A405" s="27"/>
      <c r="B405" s="28"/>
      <c r="C405" s="29"/>
      <c r="D405" s="29"/>
      <c r="E405" s="28"/>
      <c r="F405" s="13" t="str">
        <f>IF(A405="","",IF(A405=Agendamento!$C$3,"x",""))</f>
        <v/>
      </c>
      <c r="G405" s="13" t="str">
        <f>IF(A405="","",IF(E405=Agendamento!$C$7,"x",""))</f>
        <v/>
      </c>
      <c r="H405" s="13" t="str">
        <f>IF(A405="","",IF(AND(Agendamento!$C$3="",Agendamento!$C$7&lt;&gt;""),IF(Agendamento!$C$7='Base de Dados'!E405,"x",""),IF(AND(Agendamento!$C$3&lt;&gt;"",Agendamento!$C$7=""),IF(Agendamento!$C$3='Base de Dados'!A405,"x",""),IF(AND(Agendamento!$C$3='Base de Dados'!A405,'Base de Dados'!E405=Agendamento!$C$7),"x",""))))</f>
        <v/>
      </c>
      <c r="I405" s="13" t="str">
        <f>IF(H405="x",COUNT($I$1:I404)+1,"")</f>
        <v/>
      </c>
    </row>
    <row r="406" spans="1:9" x14ac:dyDescent="0.25">
      <c r="A406" s="27"/>
      <c r="B406" s="28"/>
      <c r="C406" s="29"/>
      <c r="D406" s="29"/>
      <c r="E406" s="28"/>
      <c r="F406" s="13" t="str">
        <f>IF(A406="","",IF(A406=Agendamento!$C$3,"x",""))</f>
        <v/>
      </c>
      <c r="G406" s="13" t="str">
        <f>IF(A406="","",IF(E406=Agendamento!$C$7,"x",""))</f>
        <v/>
      </c>
      <c r="H406" s="13" t="str">
        <f>IF(A406="","",IF(AND(Agendamento!$C$3="",Agendamento!$C$7&lt;&gt;""),IF(Agendamento!$C$7='Base de Dados'!E406,"x",""),IF(AND(Agendamento!$C$3&lt;&gt;"",Agendamento!$C$7=""),IF(Agendamento!$C$3='Base de Dados'!A406,"x",""),IF(AND(Agendamento!$C$3='Base de Dados'!A406,'Base de Dados'!E406=Agendamento!$C$7),"x",""))))</f>
        <v/>
      </c>
      <c r="I406" s="13" t="str">
        <f>IF(H406="x",COUNT($I$1:I405)+1,"")</f>
        <v/>
      </c>
    </row>
    <row r="407" spans="1:9" x14ac:dyDescent="0.25">
      <c r="A407" s="27"/>
      <c r="B407" s="28"/>
      <c r="C407" s="29"/>
      <c r="D407" s="29"/>
      <c r="E407" s="28"/>
      <c r="F407" s="13" t="str">
        <f>IF(A407="","",IF(A407=Agendamento!$C$3,"x",""))</f>
        <v/>
      </c>
      <c r="G407" s="13" t="str">
        <f>IF(A407="","",IF(E407=Agendamento!$C$7,"x",""))</f>
        <v/>
      </c>
      <c r="H407" s="13" t="str">
        <f>IF(A407="","",IF(AND(Agendamento!$C$3="",Agendamento!$C$7&lt;&gt;""),IF(Agendamento!$C$7='Base de Dados'!E407,"x",""),IF(AND(Agendamento!$C$3&lt;&gt;"",Agendamento!$C$7=""),IF(Agendamento!$C$3='Base de Dados'!A407,"x",""),IF(AND(Agendamento!$C$3='Base de Dados'!A407,'Base de Dados'!E407=Agendamento!$C$7),"x",""))))</f>
        <v/>
      </c>
      <c r="I407" s="13" t="str">
        <f>IF(H407="x",COUNT($I$1:I406)+1,"")</f>
        <v/>
      </c>
    </row>
    <row r="408" spans="1:9" x14ac:dyDescent="0.25">
      <c r="A408" s="27"/>
      <c r="B408" s="28"/>
      <c r="C408" s="29"/>
      <c r="D408" s="29"/>
      <c r="E408" s="28"/>
      <c r="F408" s="13" t="str">
        <f>IF(A408="","",IF(A408=Agendamento!$C$3,"x",""))</f>
        <v/>
      </c>
      <c r="G408" s="13" t="str">
        <f>IF(A408="","",IF(E408=Agendamento!$C$7,"x",""))</f>
        <v/>
      </c>
      <c r="H408" s="13" t="str">
        <f>IF(A408="","",IF(AND(Agendamento!$C$3="",Agendamento!$C$7&lt;&gt;""),IF(Agendamento!$C$7='Base de Dados'!E408,"x",""),IF(AND(Agendamento!$C$3&lt;&gt;"",Agendamento!$C$7=""),IF(Agendamento!$C$3='Base de Dados'!A408,"x",""),IF(AND(Agendamento!$C$3='Base de Dados'!A408,'Base de Dados'!E408=Agendamento!$C$7),"x",""))))</f>
        <v/>
      </c>
      <c r="I408" s="13" t="str">
        <f>IF(H408="x",COUNT($I$1:I407)+1,"")</f>
        <v/>
      </c>
    </row>
    <row r="409" spans="1:9" x14ac:dyDescent="0.25">
      <c r="A409" s="27"/>
      <c r="B409" s="28"/>
      <c r="C409" s="29"/>
      <c r="D409" s="29"/>
      <c r="E409" s="28"/>
      <c r="F409" s="13" t="str">
        <f>IF(A409="","",IF(A409=Agendamento!$C$3,"x",""))</f>
        <v/>
      </c>
      <c r="G409" s="13" t="str">
        <f>IF(A409="","",IF(E409=Agendamento!$C$7,"x",""))</f>
        <v/>
      </c>
      <c r="H409" s="13" t="str">
        <f>IF(A409="","",IF(AND(Agendamento!$C$3="",Agendamento!$C$7&lt;&gt;""),IF(Agendamento!$C$7='Base de Dados'!E409,"x",""),IF(AND(Agendamento!$C$3&lt;&gt;"",Agendamento!$C$7=""),IF(Agendamento!$C$3='Base de Dados'!A409,"x",""),IF(AND(Agendamento!$C$3='Base de Dados'!A409,'Base de Dados'!E409=Agendamento!$C$7),"x",""))))</f>
        <v/>
      </c>
      <c r="I409" s="13" t="str">
        <f>IF(H409="x",COUNT($I$1:I408)+1,"")</f>
        <v/>
      </c>
    </row>
    <row r="410" spans="1:9" x14ac:dyDescent="0.25">
      <c r="A410" s="27"/>
      <c r="B410" s="28"/>
      <c r="C410" s="29"/>
      <c r="D410" s="29"/>
      <c r="E410" s="28"/>
      <c r="F410" s="13" t="str">
        <f>IF(A410="","",IF(A410=Agendamento!$C$3,"x",""))</f>
        <v/>
      </c>
      <c r="G410" s="13" t="str">
        <f>IF(A410="","",IF(E410=Agendamento!$C$7,"x",""))</f>
        <v/>
      </c>
      <c r="H410" s="13" t="str">
        <f>IF(A410="","",IF(AND(Agendamento!$C$3="",Agendamento!$C$7&lt;&gt;""),IF(Agendamento!$C$7='Base de Dados'!E410,"x",""),IF(AND(Agendamento!$C$3&lt;&gt;"",Agendamento!$C$7=""),IF(Agendamento!$C$3='Base de Dados'!A410,"x",""),IF(AND(Agendamento!$C$3='Base de Dados'!A410,'Base de Dados'!E410=Agendamento!$C$7),"x",""))))</f>
        <v/>
      </c>
      <c r="I410" s="13" t="str">
        <f>IF(H410="x",COUNT($I$1:I409)+1,"")</f>
        <v/>
      </c>
    </row>
    <row r="411" spans="1:9" x14ac:dyDescent="0.25">
      <c r="A411" s="27"/>
      <c r="B411" s="28"/>
      <c r="C411" s="29"/>
      <c r="D411" s="29"/>
      <c r="E411" s="28"/>
      <c r="F411" s="13" t="str">
        <f>IF(A411="","",IF(A411=Agendamento!$C$3,"x",""))</f>
        <v/>
      </c>
      <c r="G411" s="13" t="str">
        <f>IF(A411="","",IF(E411=Agendamento!$C$7,"x",""))</f>
        <v/>
      </c>
      <c r="H411" s="13" t="str">
        <f>IF(A411="","",IF(AND(Agendamento!$C$3="",Agendamento!$C$7&lt;&gt;""),IF(Agendamento!$C$7='Base de Dados'!E411,"x",""),IF(AND(Agendamento!$C$3&lt;&gt;"",Agendamento!$C$7=""),IF(Agendamento!$C$3='Base de Dados'!A411,"x",""),IF(AND(Agendamento!$C$3='Base de Dados'!A411,'Base de Dados'!E411=Agendamento!$C$7),"x",""))))</f>
        <v/>
      </c>
      <c r="I411" s="13" t="str">
        <f>IF(H411="x",COUNT($I$1:I410)+1,"")</f>
        <v/>
      </c>
    </row>
    <row r="412" spans="1:9" x14ac:dyDescent="0.25">
      <c r="A412" s="27"/>
      <c r="B412" s="28"/>
      <c r="C412" s="29"/>
      <c r="D412" s="29"/>
      <c r="E412" s="28"/>
      <c r="F412" s="13" t="str">
        <f>IF(A412="","",IF(A412=Agendamento!$C$3,"x",""))</f>
        <v/>
      </c>
      <c r="G412" s="13" t="str">
        <f>IF(A412="","",IF(E412=Agendamento!$C$7,"x",""))</f>
        <v/>
      </c>
      <c r="H412" s="13" t="str">
        <f>IF(A412="","",IF(AND(Agendamento!$C$3="",Agendamento!$C$7&lt;&gt;""),IF(Agendamento!$C$7='Base de Dados'!E412,"x",""),IF(AND(Agendamento!$C$3&lt;&gt;"",Agendamento!$C$7=""),IF(Agendamento!$C$3='Base de Dados'!A412,"x",""),IF(AND(Agendamento!$C$3='Base de Dados'!A412,'Base de Dados'!E412=Agendamento!$C$7),"x",""))))</f>
        <v/>
      </c>
      <c r="I412" s="13" t="str">
        <f>IF(H412="x",COUNT($I$1:I411)+1,"")</f>
        <v/>
      </c>
    </row>
    <row r="413" spans="1:9" x14ac:dyDescent="0.25">
      <c r="A413" s="27"/>
      <c r="B413" s="28"/>
      <c r="C413" s="29"/>
      <c r="D413" s="29"/>
      <c r="E413" s="28"/>
      <c r="F413" s="13" t="str">
        <f>IF(A413="","",IF(A413=Agendamento!$C$3,"x",""))</f>
        <v/>
      </c>
      <c r="G413" s="13" t="str">
        <f>IF(A413="","",IF(E413=Agendamento!$C$7,"x",""))</f>
        <v/>
      </c>
      <c r="H413" s="13" t="str">
        <f>IF(A413="","",IF(AND(Agendamento!$C$3="",Agendamento!$C$7&lt;&gt;""),IF(Agendamento!$C$7='Base de Dados'!E413,"x",""),IF(AND(Agendamento!$C$3&lt;&gt;"",Agendamento!$C$7=""),IF(Agendamento!$C$3='Base de Dados'!A413,"x",""),IF(AND(Agendamento!$C$3='Base de Dados'!A413,'Base de Dados'!E413=Agendamento!$C$7),"x",""))))</f>
        <v/>
      </c>
      <c r="I413" s="13" t="str">
        <f>IF(H413="x",COUNT($I$1:I412)+1,"")</f>
        <v/>
      </c>
    </row>
    <row r="414" spans="1:9" x14ac:dyDescent="0.25">
      <c r="A414" s="27"/>
      <c r="B414" s="28"/>
      <c r="C414" s="29"/>
      <c r="D414" s="29"/>
      <c r="E414" s="28"/>
      <c r="F414" s="13" t="str">
        <f>IF(A414="","",IF(A414=Agendamento!$C$3,"x",""))</f>
        <v/>
      </c>
      <c r="G414" s="13" t="str">
        <f>IF(A414="","",IF(E414=Agendamento!$C$7,"x",""))</f>
        <v/>
      </c>
      <c r="H414" s="13" t="str">
        <f>IF(A414="","",IF(AND(Agendamento!$C$3="",Agendamento!$C$7&lt;&gt;""),IF(Agendamento!$C$7='Base de Dados'!E414,"x",""),IF(AND(Agendamento!$C$3&lt;&gt;"",Agendamento!$C$7=""),IF(Agendamento!$C$3='Base de Dados'!A414,"x",""),IF(AND(Agendamento!$C$3='Base de Dados'!A414,'Base de Dados'!E414=Agendamento!$C$7),"x",""))))</f>
        <v/>
      </c>
      <c r="I414" s="13" t="str">
        <f>IF(H414="x",COUNT($I$1:I413)+1,"")</f>
        <v/>
      </c>
    </row>
    <row r="415" spans="1:9" x14ac:dyDescent="0.25">
      <c r="A415" s="27"/>
      <c r="B415" s="28"/>
      <c r="C415" s="29"/>
      <c r="D415" s="29"/>
      <c r="E415" s="28"/>
      <c r="F415" s="13" t="str">
        <f>IF(A415="","",IF(A415=Agendamento!$C$3,"x",""))</f>
        <v/>
      </c>
      <c r="G415" s="13" t="str">
        <f>IF(A415="","",IF(E415=Agendamento!$C$7,"x",""))</f>
        <v/>
      </c>
      <c r="H415" s="13" t="str">
        <f>IF(A415="","",IF(AND(Agendamento!$C$3="",Agendamento!$C$7&lt;&gt;""),IF(Agendamento!$C$7='Base de Dados'!E415,"x",""),IF(AND(Agendamento!$C$3&lt;&gt;"",Agendamento!$C$7=""),IF(Agendamento!$C$3='Base de Dados'!A415,"x",""),IF(AND(Agendamento!$C$3='Base de Dados'!A415,'Base de Dados'!E415=Agendamento!$C$7),"x",""))))</f>
        <v/>
      </c>
      <c r="I415" s="13" t="str">
        <f>IF(H415="x",COUNT($I$1:I414)+1,"")</f>
        <v/>
      </c>
    </row>
    <row r="416" spans="1:9" x14ac:dyDescent="0.25">
      <c r="A416" s="27"/>
      <c r="B416" s="28"/>
      <c r="C416" s="29"/>
      <c r="D416" s="29"/>
      <c r="E416" s="28"/>
      <c r="F416" s="13" t="str">
        <f>IF(A416="","",IF(A416=Agendamento!$C$3,"x",""))</f>
        <v/>
      </c>
      <c r="G416" s="13" t="str">
        <f>IF(A416="","",IF(E416=Agendamento!$C$7,"x",""))</f>
        <v/>
      </c>
      <c r="H416" s="13" t="str">
        <f>IF(A416="","",IF(AND(Agendamento!$C$3="",Agendamento!$C$7&lt;&gt;""),IF(Agendamento!$C$7='Base de Dados'!E416,"x",""),IF(AND(Agendamento!$C$3&lt;&gt;"",Agendamento!$C$7=""),IF(Agendamento!$C$3='Base de Dados'!A416,"x",""),IF(AND(Agendamento!$C$3='Base de Dados'!A416,'Base de Dados'!E416=Agendamento!$C$7),"x",""))))</f>
        <v/>
      </c>
      <c r="I416" s="13" t="str">
        <f>IF(H416="x",COUNT($I$1:I415)+1,"")</f>
        <v/>
      </c>
    </row>
    <row r="417" spans="1:9" x14ac:dyDescent="0.25">
      <c r="A417" s="27"/>
      <c r="B417" s="28"/>
      <c r="C417" s="29"/>
      <c r="D417" s="29"/>
      <c r="E417" s="28"/>
      <c r="F417" s="13" t="str">
        <f>IF(A417="","",IF(A417=Agendamento!$C$3,"x",""))</f>
        <v/>
      </c>
      <c r="G417" s="13" t="str">
        <f>IF(A417="","",IF(E417=Agendamento!$C$7,"x",""))</f>
        <v/>
      </c>
      <c r="H417" s="13" t="str">
        <f>IF(A417="","",IF(AND(Agendamento!$C$3="",Agendamento!$C$7&lt;&gt;""),IF(Agendamento!$C$7='Base de Dados'!E417,"x",""),IF(AND(Agendamento!$C$3&lt;&gt;"",Agendamento!$C$7=""),IF(Agendamento!$C$3='Base de Dados'!A417,"x",""),IF(AND(Agendamento!$C$3='Base de Dados'!A417,'Base de Dados'!E417=Agendamento!$C$7),"x",""))))</f>
        <v/>
      </c>
      <c r="I417" s="13" t="str">
        <f>IF(H417="x",COUNT($I$1:I416)+1,"")</f>
        <v/>
      </c>
    </row>
    <row r="418" spans="1:9" x14ac:dyDescent="0.25">
      <c r="A418" s="27"/>
      <c r="B418" s="28"/>
      <c r="C418" s="29"/>
      <c r="D418" s="29"/>
      <c r="E418" s="28"/>
      <c r="F418" s="13" t="str">
        <f>IF(A418="","",IF(A418=Agendamento!$C$3,"x",""))</f>
        <v/>
      </c>
      <c r="G418" s="13" t="str">
        <f>IF(A418="","",IF(E418=Agendamento!$C$7,"x",""))</f>
        <v/>
      </c>
      <c r="H418" s="13" t="str">
        <f>IF(A418="","",IF(AND(Agendamento!$C$3="",Agendamento!$C$7&lt;&gt;""),IF(Agendamento!$C$7='Base de Dados'!E418,"x",""),IF(AND(Agendamento!$C$3&lt;&gt;"",Agendamento!$C$7=""),IF(Agendamento!$C$3='Base de Dados'!A418,"x",""),IF(AND(Agendamento!$C$3='Base de Dados'!A418,'Base de Dados'!E418=Agendamento!$C$7),"x",""))))</f>
        <v/>
      </c>
      <c r="I418" s="13" t="str">
        <f>IF(H418="x",COUNT($I$1:I417)+1,"")</f>
        <v/>
      </c>
    </row>
    <row r="419" spans="1:9" x14ac:dyDescent="0.25">
      <c r="A419" s="27"/>
      <c r="B419" s="28"/>
      <c r="C419" s="29"/>
      <c r="D419" s="29"/>
      <c r="E419" s="28"/>
      <c r="F419" s="13" t="str">
        <f>IF(A419="","",IF(A419=Agendamento!$C$3,"x",""))</f>
        <v/>
      </c>
      <c r="G419" s="13" t="str">
        <f>IF(A419="","",IF(E419=Agendamento!$C$7,"x",""))</f>
        <v/>
      </c>
      <c r="H419" s="13" t="str">
        <f>IF(A419="","",IF(AND(Agendamento!$C$3="",Agendamento!$C$7&lt;&gt;""),IF(Agendamento!$C$7='Base de Dados'!E419,"x",""),IF(AND(Agendamento!$C$3&lt;&gt;"",Agendamento!$C$7=""),IF(Agendamento!$C$3='Base de Dados'!A419,"x",""),IF(AND(Agendamento!$C$3='Base de Dados'!A419,'Base de Dados'!E419=Agendamento!$C$7),"x",""))))</f>
        <v/>
      </c>
      <c r="I419" s="13" t="str">
        <f>IF(H419="x",COUNT($I$1:I418)+1,"")</f>
        <v/>
      </c>
    </row>
    <row r="420" spans="1:9" x14ac:dyDescent="0.25">
      <c r="A420" s="27"/>
      <c r="B420" s="28"/>
      <c r="C420" s="29"/>
      <c r="D420" s="29"/>
      <c r="E420" s="28"/>
      <c r="F420" s="13" t="str">
        <f>IF(A420="","",IF(A420=Agendamento!$C$3,"x",""))</f>
        <v/>
      </c>
      <c r="G420" s="13" t="str">
        <f>IF(A420="","",IF(E420=Agendamento!$C$7,"x",""))</f>
        <v/>
      </c>
      <c r="H420" s="13" t="str">
        <f>IF(A420="","",IF(AND(Agendamento!$C$3="",Agendamento!$C$7&lt;&gt;""),IF(Agendamento!$C$7='Base de Dados'!E420,"x",""),IF(AND(Agendamento!$C$3&lt;&gt;"",Agendamento!$C$7=""),IF(Agendamento!$C$3='Base de Dados'!A420,"x",""),IF(AND(Agendamento!$C$3='Base de Dados'!A420,'Base de Dados'!E420=Agendamento!$C$7),"x",""))))</f>
        <v/>
      </c>
      <c r="I420" s="13" t="str">
        <f>IF(H420="x",COUNT($I$1:I419)+1,"")</f>
        <v/>
      </c>
    </row>
    <row r="421" spans="1:9" x14ac:dyDescent="0.25">
      <c r="A421" s="27"/>
      <c r="B421" s="28"/>
      <c r="C421" s="29"/>
      <c r="D421" s="29"/>
      <c r="E421" s="28"/>
      <c r="F421" s="13" t="str">
        <f>IF(A421="","",IF(A421=Agendamento!$C$3,"x",""))</f>
        <v/>
      </c>
      <c r="G421" s="13" t="str">
        <f>IF(A421="","",IF(E421=Agendamento!$C$7,"x",""))</f>
        <v/>
      </c>
      <c r="H421" s="13" t="str">
        <f>IF(A421="","",IF(AND(Agendamento!$C$3="",Agendamento!$C$7&lt;&gt;""),IF(Agendamento!$C$7='Base de Dados'!E421,"x",""),IF(AND(Agendamento!$C$3&lt;&gt;"",Agendamento!$C$7=""),IF(Agendamento!$C$3='Base de Dados'!A421,"x",""),IF(AND(Agendamento!$C$3='Base de Dados'!A421,'Base de Dados'!E421=Agendamento!$C$7),"x",""))))</f>
        <v/>
      </c>
      <c r="I421" s="13" t="str">
        <f>IF(H421="x",COUNT($I$1:I420)+1,"")</f>
        <v/>
      </c>
    </row>
    <row r="422" spans="1:9" x14ac:dyDescent="0.25">
      <c r="A422" s="27"/>
      <c r="B422" s="28"/>
      <c r="C422" s="29"/>
      <c r="D422" s="29"/>
      <c r="E422" s="28"/>
      <c r="F422" s="13" t="str">
        <f>IF(A422="","",IF(A422=Agendamento!$C$3,"x",""))</f>
        <v/>
      </c>
      <c r="G422" s="13" t="str">
        <f>IF(A422="","",IF(E422=Agendamento!$C$7,"x",""))</f>
        <v/>
      </c>
      <c r="H422" s="13" t="str">
        <f>IF(A422="","",IF(AND(Agendamento!$C$3="",Agendamento!$C$7&lt;&gt;""),IF(Agendamento!$C$7='Base de Dados'!E422,"x",""),IF(AND(Agendamento!$C$3&lt;&gt;"",Agendamento!$C$7=""),IF(Agendamento!$C$3='Base de Dados'!A422,"x",""),IF(AND(Agendamento!$C$3='Base de Dados'!A422,'Base de Dados'!E422=Agendamento!$C$7),"x",""))))</f>
        <v/>
      </c>
      <c r="I422" s="13" t="str">
        <f>IF(H422="x",COUNT($I$1:I421)+1,"")</f>
        <v/>
      </c>
    </row>
    <row r="423" spans="1:9" x14ac:dyDescent="0.25">
      <c r="A423" s="27"/>
      <c r="B423" s="28"/>
      <c r="C423" s="29"/>
      <c r="D423" s="29"/>
      <c r="E423" s="28"/>
      <c r="F423" s="13" t="str">
        <f>IF(A423="","",IF(A423=Agendamento!$C$3,"x",""))</f>
        <v/>
      </c>
      <c r="G423" s="13" t="str">
        <f>IF(A423="","",IF(E423=Agendamento!$C$7,"x",""))</f>
        <v/>
      </c>
      <c r="H423" s="13" t="str">
        <f>IF(A423="","",IF(AND(Agendamento!$C$3="",Agendamento!$C$7&lt;&gt;""),IF(Agendamento!$C$7='Base de Dados'!E423,"x",""),IF(AND(Agendamento!$C$3&lt;&gt;"",Agendamento!$C$7=""),IF(Agendamento!$C$3='Base de Dados'!A423,"x",""),IF(AND(Agendamento!$C$3='Base de Dados'!A423,'Base de Dados'!E423=Agendamento!$C$7),"x",""))))</f>
        <v/>
      </c>
      <c r="I423" s="13" t="str">
        <f>IF(H423="x",COUNT($I$1:I422)+1,"")</f>
        <v/>
      </c>
    </row>
    <row r="424" spans="1:9" x14ac:dyDescent="0.25">
      <c r="A424" s="27"/>
      <c r="B424" s="28"/>
      <c r="C424" s="29"/>
      <c r="D424" s="29"/>
      <c r="E424" s="28"/>
      <c r="F424" s="13" t="str">
        <f>IF(A424="","",IF(A424=Agendamento!$C$3,"x",""))</f>
        <v/>
      </c>
      <c r="G424" s="13" t="str">
        <f>IF(A424="","",IF(E424=Agendamento!$C$7,"x",""))</f>
        <v/>
      </c>
      <c r="H424" s="13" t="str">
        <f>IF(A424="","",IF(AND(Agendamento!$C$3="",Agendamento!$C$7&lt;&gt;""),IF(Agendamento!$C$7='Base de Dados'!E424,"x",""),IF(AND(Agendamento!$C$3&lt;&gt;"",Agendamento!$C$7=""),IF(Agendamento!$C$3='Base de Dados'!A424,"x",""),IF(AND(Agendamento!$C$3='Base de Dados'!A424,'Base de Dados'!E424=Agendamento!$C$7),"x",""))))</f>
        <v/>
      </c>
      <c r="I424" s="13" t="str">
        <f>IF(H424="x",COUNT($I$1:I423)+1,"")</f>
        <v/>
      </c>
    </row>
    <row r="425" spans="1:9" x14ac:dyDescent="0.25">
      <c r="A425" s="27"/>
      <c r="B425" s="28"/>
      <c r="C425" s="29"/>
      <c r="D425" s="29"/>
      <c r="E425" s="28"/>
      <c r="F425" s="13" t="str">
        <f>IF(A425="","",IF(A425=Agendamento!$C$3,"x",""))</f>
        <v/>
      </c>
      <c r="G425" s="13" t="str">
        <f>IF(A425="","",IF(E425=Agendamento!$C$7,"x",""))</f>
        <v/>
      </c>
      <c r="H425" s="13" t="str">
        <f>IF(A425="","",IF(AND(Agendamento!$C$3="",Agendamento!$C$7&lt;&gt;""),IF(Agendamento!$C$7='Base de Dados'!E425,"x",""),IF(AND(Agendamento!$C$3&lt;&gt;"",Agendamento!$C$7=""),IF(Agendamento!$C$3='Base de Dados'!A425,"x",""),IF(AND(Agendamento!$C$3='Base de Dados'!A425,'Base de Dados'!E425=Agendamento!$C$7),"x",""))))</f>
        <v/>
      </c>
      <c r="I425" s="13" t="str">
        <f>IF(H425="x",COUNT($I$1:I424)+1,"")</f>
        <v/>
      </c>
    </row>
    <row r="426" spans="1:9" x14ac:dyDescent="0.25">
      <c r="A426" s="27"/>
      <c r="B426" s="28"/>
      <c r="C426" s="29"/>
      <c r="D426" s="29"/>
      <c r="E426" s="28"/>
      <c r="F426" s="13" t="str">
        <f>IF(A426="","",IF(A426=Agendamento!$C$3,"x",""))</f>
        <v/>
      </c>
      <c r="G426" s="13" t="str">
        <f>IF(A426="","",IF(E426=Agendamento!$C$7,"x",""))</f>
        <v/>
      </c>
      <c r="H426" s="13" t="str">
        <f>IF(A426="","",IF(AND(Agendamento!$C$3="",Agendamento!$C$7&lt;&gt;""),IF(Agendamento!$C$7='Base de Dados'!E426,"x",""),IF(AND(Agendamento!$C$3&lt;&gt;"",Agendamento!$C$7=""),IF(Agendamento!$C$3='Base de Dados'!A426,"x",""),IF(AND(Agendamento!$C$3='Base de Dados'!A426,'Base de Dados'!E426=Agendamento!$C$7),"x",""))))</f>
        <v/>
      </c>
      <c r="I426" s="13" t="str">
        <f>IF(H426="x",COUNT($I$1:I425)+1,"")</f>
        <v/>
      </c>
    </row>
    <row r="427" spans="1:9" x14ac:dyDescent="0.25">
      <c r="A427" s="27"/>
      <c r="B427" s="28"/>
      <c r="C427" s="29"/>
      <c r="D427" s="29"/>
      <c r="E427" s="28"/>
      <c r="F427" s="13" t="str">
        <f>IF(A427="","",IF(A427=Agendamento!$C$3,"x",""))</f>
        <v/>
      </c>
      <c r="G427" s="13" t="str">
        <f>IF(A427="","",IF(E427=Agendamento!$C$7,"x",""))</f>
        <v/>
      </c>
      <c r="H427" s="13" t="str">
        <f>IF(A427="","",IF(AND(Agendamento!$C$3="",Agendamento!$C$7&lt;&gt;""),IF(Agendamento!$C$7='Base de Dados'!E427,"x",""),IF(AND(Agendamento!$C$3&lt;&gt;"",Agendamento!$C$7=""),IF(Agendamento!$C$3='Base de Dados'!A427,"x",""),IF(AND(Agendamento!$C$3='Base de Dados'!A427,'Base de Dados'!E427=Agendamento!$C$7),"x",""))))</f>
        <v/>
      </c>
      <c r="I427" s="13" t="str">
        <f>IF(H427="x",COUNT($I$1:I426)+1,"")</f>
        <v/>
      </c>
    </row>
    <row r="428" spans="1:9" x14ac:dyDescent="0.25">
      <c r="A428" s="27"/>
      <c r="B428" s="28"/>
      <c r="C428" s="29"/>
      <c r="D428" s="29"/>
      <c r="E428" s="28"/>
      <c r="F428" s="13" t="str">
        <f>IF(A428="","",IF(A428=Agendamento!$C$3,"x",""))</f>
        <v/>
      </c>
      <c r="G428" s="13" t="str">
        <f>IF(A428="","",IF(E428=Agendamento!$C$7,"x",""))</f>
        <v/>
      </c>
      <c r="H428" s="13" t="str">
        <f>IF(A428="","",IF(AND(Agendamento!$C$3="",Agendamento!$C$7&lt;&gt;""),IF(Agendamento!$C$7='Base de Dados'!E428,"x",""),IF(AND(Agendamento!$C$3&lt;&gt;"",Agendamento!$C$7=""),IF(Agendamento!$C$3='Base de Dados'!A428,"x",""),IF(AND(Agendamento!$C$3='Base de Dados'!A428,'Base de Dados'!E428=Agendamento!$C$7),"x",""))))</f>
        <v/>
      </c>
      <c r="I428" s="13" t="str">
        <f>IF(H428="x",COUNT($I$1:I427)+1,"")</f>
        <v/>
      </c>
    </row>
    <row r="429" spans="1:9" x14ac:dyDescent="0.25">
      <c r="A429" s="27"/>
      <c r="B429" s="28"/>
      <c r="C429" s="29"/>
      <c r="D429" s="29"/>
      <c r="E429" s="28"/>
      <c r="F429" s="13" t="str">
        <f>IF(A429="","",IF(A429=Agendamento!$C$3,"x",""))</f>
        <v/>
      </c>
      <c r="G429" s="13" t="str">
        <f>IF(A429="","",IF(E429=Agendamento!$C$7,"x",""))</f>
        <v/>
      </c>
      <c r="H429" s="13" t="str">
        <f>IF(A429="","",IF(AND(Agendamento!$C$3="",Agendamento!$C$7&lt;&gt;""),IF(Agendamento!$C$7='Base de Dados'!E429,"x",""),IF(AND(Agendamento!$C$3&lt;&gt;"",Agendamento!$C$7=""),IF(Agendamento!$C$3='Base de Dados'!A429,"x",""),IF(AND(Agendamento!$C$3='Base de Dados'!A429,'Base de Dados'!E429=Agendamento!$C$7),"x",""))))</f>
        <v/>
      </c>
      <c r="I429" s="13" t="str">
        <f>IF(H429="x",COUNT($I$1:I428)+1,"")</f>
        <v/>
      </c>
    </row>
    <row r="430" spans="1:9" x14ac:dyDescent="0.25">
      <c r="A430" s="27"/>
      <c r="B430" s="28"/>
      <c r="C430" s="29"/>
      <c r="D430" s="29"/>
      <c r="E430" s="28"/>
      <c r="F430" s="13" t="str">
        <f>IF(A430="","",IF(A430=Agendamento!$C$3,"x",""))</f>
        <v/>
      </c>
      <c r="G430" s="13" t="str">
        <f>IF(A430="","",IF(E430=Agendamento!$C$7,"x",""))</f>
        <v/>
      </c>
      <c r="H430" s="13" t="str">
        <f>IF(A430="","",IF(AND(Agendamento!$C$3="",Agendamento!$C$7&lt;&gt;""),IF(Agendamento!$C$7='Base de Dados'!E430,"x",""),IF(AND(Agendamento!$C$3&lt;&gt;"",Agendamento!$C$7=""),IF(Agendamento!$C$3='Base de Dados'!A430,"x",""),IF(AND(Agendamento!$C$3='Base de Dados'!A430,'Base de Dados'!E430=Agendamento!$C$7),"x",""))))</f>
        <v/>
      </c>
      <c r="I430" s="13" t="str">
        <f>IF(H430="x",COUNT($I$1:I429)+1,"")</f>
        <v/>
      </c>
    </row>
    <row r="431" spans="1:9" x14ac:dyDescent="0.25">
      <c r="A431" s="27"/>
      <c r="B431" s="28"/>
      <c r="C431" s="29"/>
      <c r="D431" s="29"/>
      <c r="E431" s="28"/>
      <c r="F431" s="13" t="str">
        <f>IF(A431="","",IF(A431=Agendamento!$C$3,"x",""))</f>
        <v/>
      </c>
      <c r="G431" s="13" t="str">
        <f>IF(A431="","",IF(E431=Agendamento!$C$7,"x",""))</f>
        <v/>
      </c>
      <c r="H431" s="13" t="str">
        <f>IF(A431="","",IF(AND(Agendamento!$C$3="",Agendamento!$C$7&lt;&gt;""),IF(Agendamento!$C$7='Base de Dados'!E431,"x",""),IF(AND(Agendamento!$C$3&lt;&gt;"",Agendamento!$C$7=""),IF(Agendamento!$C$3='Base de Dados'!A431,"x",""),IF(AND(Agendamento!$C$3='Base de Dados'!A431,'Base de Dados'!E431=Agendamento!$C$7),"x",""))))</f>
        <v/>
      </c>
      <c r="I431" s="13" t="str">
        <f>IF(H431="x",COUNT($I$1:I430)+1,"")</f>
        <v/>
      </c>
    </row>
    <row r="432" spans="1:9" x14ac:dyDescent="0.25">
      <c r="A432" s="27"/>
      <c r="B432" s="28"/>
      <c r="C432" s="29"/>
      <c r="D432" s="29"/>
      <c r="E432" s="28"/>
      <c r="F432" s="13" t="str">
        <f>IF(A432="","",IF(A432=Agendamento!$C$3,"x",""))</f>
        <v/>
      </c>
      <c r="G432" s="13" t="str">
        <f>IF(A432="","",IF(E432=Agendamento!$C$7,"x",""))</f>
        <v/>
      </c>
      <c r="H432" s="13" t="str">
        <f>IF(A432="","",IF(AND(Agendamento!$C$3="",Agendamento!$C$7&lt;&gt;""),IF(Agendamento!$C$7='Base de Dados'!E432,"x",""),IF(AND(Agendamento!$C$3&lt;&gt;"",Agendamento!$C$7=""),IF(Agendamento!$C$3='Base de Dados'!A432,"x",""),IF(AND(Agendamento!$C$3='Base de Dados'!A432,'Base de Dados'!E432=Agendamento!$C$7),"x",""))))</f>
        <v/>
      </c>
      <c r="I432" s="13" t="str">
        <f>IF(H432="x",COUNT($I$1:I431)+1,"")</f>
        <v/>
      </c>
    </row>
    <row r="433" spans="1:9" x14ac:dyDescent="0.25">
      <c r="A433" s="27"/>
      <c r="B433" s="28"/>
      <c r="C433" s="29"/>
      <c r="D433" s="29"/>
      <c r="E433" s="28"/>
      <c r="F433" s="13" t="str">
        <f>IF(A433="","",IF(A433=Agendamento!$C$3,"x",""))</f>
        <v/>
      </c>
      <c r="G433" s="13" t="str">
        <f>IF(A433="","",IF(E433=Agendamento!$C$7,"x",""))</f>
        <v/>
      </c>
      <c r="H433" s="13" t="str">
        <f>IF(A433="","",IF(AND(Agendamento!$C$3="",Agendamento!$C$7&lt;&gt;""),IF(Agendamento!$C$7='Base de Dados'!E433,"x",""),IF(AND(Agendamento!$C$3&lt;&gt;"",Agendamento!$C$7=""),IF(Agendamento!$C$3='Base de Dados'!A433,"x",""),IF(AND(Agendamento!$C$3='Base de Dados'!A433,'Base de Dados'!E433=Agendamento!$C$7),"x",""))))</f>
        <v/>
      </c>
      <c r="I433" s="13" t="str">
        <f>IF(H433="x",COUNT($I$1:I432)+1,"")</f>
        <v/>
      </c>
    </row>
    <row r="434" spans="1:9" x14ac:dyDescent="0.25">
      <c r="A434" s="27"/>
      <c r="B434" s="28"/>
      <c r="C434" s="29"/>
      <c r="D434" s="29"/>
      <c r="E434" s="28"/>
      <c r="F434" s="13" t="str">
        <f>IF(A434="","",IF(A434=Agendamento!$C$3,"x",""))</f>
        <v/>
      </c>
      <c r="G434" s="13" t="str">
        <f>IF(A434="","",IF(E434=Agendamento!$C$7,"x",""))</f>
        <v/>
      </c>
      <c r="H434" s="13" t="str">
        <f>IF(A434="","",IF(AND(Agendamento!$C$3="",Agendamento!$C$7&lt;&gt;""),IF(Agendamento!$C$7='Base de Dados'!E434,"x",""),IF(AND(Agendamento!$C$3&lt;&gt;"",Agendamento!$C$7=""),IF(Agendamento!$C$3='Base de Dados'!A434,"x",""),IF(AND(Agendamento!$C$3='Base de Dados'!A434,'Base de Dados'!E434=Agendamento!$C$7),"x",""))))</f>
        <v/>
      </c>
      <c r="I434" s="13" t="str">
        <f>IF(H434="x",COUNT($I$1:I433)+1,"")</f>
        <v/>
      </c>
    </row>
    <row r="435" spans="1:9" x14ac:dyDescent="0.25">
      <c r="A435" s="27"/>
      <c r="B435" s="28"/>
      <c r="C435" s="29"/>
      <c r="D435" s="29"/>
      <c r="E435" s="28"/>
      <c r="F435" s="13" t="str">
        <f>IF(A435="","",IF(A435=Agendamento!$C$3,"x",""))</f>
        <v/>
      </c>
      <c r="G435" s="13" t="str">
        <f>IF(A435="","",IF(E435=Agendamento!$C$7,"x",""))</f>
        <v/>
      </c>
      <c r="H435" s="13" t="str">
        <f>IF(A435="","",IF(AND(Agendamento!$C$3="",Agendamento!$C$7&lt;&gt;""),IF(Agendamento!$C$7='Base de Dados'!E435,"x",""),IF(AND(Agendamento!$C$3&lt;&gt;"",Agendamento!$C$7=""),IF(Agendamento!$C$3='Base de Dados'!A435,"x",""),IF(AND(Agendamento!$C$3='Base de Dados'!A435,'Base de Dados'!E435=Agendamento!$C$7),"x",""))))</f>
        <v/>
      </c>
      <c r="I435" s="13" t="str">
        <f>IF(H435="x",COUNT($I$1:I434)+1,"")</f>
        <v/>
      </c>
    </row>
    <row r="436" spans="1:9" x14ac:dyDescent="0.25">
      <c r="A436" s="27"/>
      <c r="B436" s="28"/>
      <c r="C436" s="29"/>
      <c r="D436" s="29"/>
      <c r="E436" s="28"/>
      <c r="F436" s="13" t="str">
        <f>IF(A436="","",IF(A436=Agendamento!$C$3,"x",""))</f>
        <v/>
      </c>
      <c r="G436" s="13" t="str">
        <f>IF(A436="","",IF(E436=Agendamento!$C$7,"x",""))</f>
        <v/>
      </c>
      <c r="H436" s="13" t="str">
        <f>IF(A436="","",IF(AND(Agendamento!$C$3="",Agendamento!$C$7&lt;&gt;""),IF(Agendamento!$C$7='Base de Dados'!E436,"x",""),IF(AND(Agendamento!$C$3&lt;&gt;"",Agendamento!$C$7=""),IF(Agendamento!$C$3='Base de Dados'!A436,"x",""),IF(AND(Agendamento!$C$3='Base de Dados'!A436,'Base de Dados'!E436=Agendamento!$C$7),"x",""))))</f>
        <v/>
      </c>
      <c r="I436" s="13" t="str">
        <f>IF(H436="x",COUNT($I$1:I435)+1,"")</f>
        <v/>
      </c>
    </row>
    <row r="437" spans="1:9" x14ac:dyDescent="0.25">
      <c r="A437" s="27"/>
      <c r="B437" s="28"/>
      <c r="C437" s="29"/>
      <c r="D437" s="29"/>
      <c r="E437" s="28"/>
      <c r="F437" s="13" t="str">
        <f>IF(A437="","",IF(A437=Agendamento!$C$3,"x",""))</f>
        <v/>
      </c>
      <c r="G437" s="13" t="str">
        <f>IF(A437="","",IF(E437=Agendamento!$C$7,"x",""))</f>
        <v/>
      </c>
      <c r="H437" s="13" t="str">
        <f>IF(A437="","",IF(AND(Agendamento!$C$3="",Agendamento!$C$7&lt;&gt;""),IF(Agendamento!$C$7='Base de Dados'!E437,"x",""),IF(AND(Agendamento!$C$3&lt;&gt;"",Agendamento!$C$7=""),IF(Agendamento!$C$3='Base de Dados'!A437,"x",""),IF(AND(Agendamento!$C$3='Base de Dados'!A437,'Base de Dados'!E437=Agendamento!$C$7),"x",""))))</f>
        <v/>
      </c>
      <c r="I437" s="13" t="str">
        <f>IF(H437="x",COUNT($I$1:I436)+1,"")</f>
        <v/>
      </c>
    </row>
    <row r="438" spans="1:9" x14ac:dyDescent="0.25">
      <c r="A438" s="27"/>
      <c r="B438" s="28"/>
      <c r="C438" s="29"/>
      <c r="D438" s="29"/>
      <c r="E438" s="28"/>
      <c r="F438" s="13" t="str">
        <f>IF(A438="","",IF(A438=Agendamento!$C$3,"x",""))</f>
        <v/>
      </c>
      <c r="G438" s="13" t="str">
        <f>IF(A438="","",IF(E438=Agendamento!$C$7,"x",""))</f>
        <v/>
      </c>
      <c r="H438" s="13" t="str">
        <f>IF(A438="","",IF(AND(Agendamento!$C$3="",Agendamento!$C$7&lt;&gt;""),IF(Agendamento!$C$7='Base de Dados'!E438,"x",""),IF(AND(Agendamento!$C$3&lt;&gt;"",Agendamento!$C$7=""),IF(Agendamento!$C$3='Base de Dados'!A438,"x",""),IF(AND(Agendamento!$C$3='Base de Dados'!A438,'Base de Dados'!E438=Agendamento!$C$7),"x",""))))</f>
        <v/>
      </c>
      <c r="I438" s="13" t="str">
        <f>IF(H438="x",COUNT($I$1:I437)+1,"")</f>
        <v/>
      </c>
    </row>
    <row r="439" spans="1:9" x14ac:dyDescent="0.25">
      <c r="A439" s="27"/>
      <c r="B439" s="28"/>
      <c r="C439" s="29"/>
      <c r="D439" s="29"/>
      <c r="E439" s="28"/>
      <c r="F439" s="13" t="str">
        <f>IF(A439="","",IF(A439=Agendamento!$C$3,"x",""))</f>
        <v/>
      </c>
      <c r="G439" s="13" t="str">
        <f>IF(A439="","",IF(E439=Agendamento!$C$7,"x",""))</f>
        <v/>
      </c>
      <c r="H439" s="13" t="str">
        <f>IF(A439="","",IF(AND(Agendamento!$C$3="",Agendamento!$C$7&lt;&gt;""),IF(Agendamento!$C$7='Base de Dados'!E439,"x",""),IF(AND(Agendamento!$C$3&lt;&gt;"",Agendamento!$C$7=""),IF(Agendamento!$C$3='Base de Dados'!A439,"x",""),IF(AND(Agendamento!$C$3='Base de Dados'!A439,'Base de Dados'!E439=Agendamento!$C$7),"x",""))))</f>
        <v/>
      </c>
      <c r="I439" s="13" t="str">
        <f>IF(H439="x",COUNT($I$1:I438)+1,"")</f>
        <v/>
      </c>
    </row>
    <row r="440" spans="1:9" x14ac:dyDescent="0.25">
      <c r="A440" s="27"/>
      <c r="B440" s="28"/>
      <c r="C440" s="29"/>
      <c r="D440" s="29"/>
      <c r="E440" s="28"/>
      <c r="F440" s="13" t="str">
        <f>IF(A440="","",IF(A440=Agendamento!$C$3,"x",""))</f>
        <v/>
      </c>
      <c r="G440" s="13" t="str">
        <f>IF(A440="","",IF(E440=Agendamento!$C$7,"x",""))</f>
        <v/>
      </c>
      <c r="H440" s="13" t="str">
        <f>IF(A440="","",IF(AND(Agendamento!$C$3="",Agendamento!$C$7&lt;&gt;""),IF(Agendamento!$C$7='Base de Dados'!E440,"x",""),IF(AND(Agendamento!$C$3&lt;&gt;"",Agendamento!$C$7=""),IF(Agendamento!$C$3='Base de Dados'!A440,"x",""),IF(AND(Agendamento!$C$3='Base de Dados'!A440,'Base de Dados'!E440=Agendamento!$C$7),"x",""))))</f>
        <v/>
      </c>
      <c r="I440" s="13" t="str">
        <f>IF(H440="x",COUNT($I$1:I439)+1,"")</f>
        <v/>
      </c>
    </row>
    <row r="441" spans="1:9" x14ac:dyDescent="0.25">
      <c r="A441" s="27"/>
      <c r="B441" s="28"/>
      <c r="C441" s="29"/>
      <c r="D441" s="29"/>
      <c r="E441" s="28"/>
      <c r="F441" s="13" t="str">
        <f>IF(A441="","",IF(A441=Agendamento!$C$3,"x",""))</f>
        <v/>
      </c>
      <c r="G441" s="13" t="str">
        <f>IF(A441="","",IF(E441=Agendamento!$C$7,"x",""))</f>
        <v/>
      </c>
      <c r="H441" s="13" t="str">
        <f>IF(A441="","",IF(AND(Agendamento!$C$3="",Agendamento!$C$7&lt;&gt;""),IF(Agendamento!$C$7='Base de Dados'!E441,"x",""),IF(AND(Agendamento!$C$3&lt;&gt;"",Agendamento!$C$7=""),IF(Agendamento!$C$3='Base de Dados'!A441,"x",""),IF(AND(Agendamento!$C$3='Base de Dados'!A441,'Base de Dados'!E441=Agendamento!$C$7),"x",""))))</f>
        <v/>
      </c>
      <c r="I441" s="13" t="str">
        <f>IF(H441="x",COUNT($I$1:I440)+1,"")</f>
        <v/>
      </c>
    </row>
    <row r="442" spans="1:9" x14ac:dyDescent="0.25">
      <c r="A442" s="27"/>
      <c r="B442" s="28"/>
      <c r="C442" s="29"/>
      <c r="D442" s="29"/>
      <c r="E442" s="28"/>
      <c r="F442" s="13" t="str">
        <f>IF(A442="","",IF(A442=Agendamento!$C$3,"x",""))</f>
        <v/>
      </c>
      <c r="G442" s="13" t="str">
        <f>IF(A442="","",IF(E442=Agendamento!$C$7,"x",""))</f>
        <v/>
      </c>
      <c r="H442" s="13" t="str">
        <f>IF(A442="","",IF(AND(Agendamento!$C$3="",Agendamento!$C$7&lt;&gt;""),IF(Agendamento!$C$7='Base de Dados'!E442,"x",""),IF(AND(Agendamento!$C$3&lt;&gt;"",Agendamento!$C$7=""),IF(Agendamento!$C$3='Base de Dados'!A442,"x",""),IF(AND(Agendamento!$C$3='Base de Dados'!A442,'Base de Dados'!E442=Agendamento!$C$7),"x",""))))</f>
        <v/>
      </c>
      <c r="I442" s="13" t="str">
        <f>IF(H442="x",COUNT($I$1:I441)+1,"")</f>
        <v/>
      </c>
    </row>
    <row r="443" spans="1:9" x14ac:dyDescent="0.25">
      <c r="A443" s="27"/>
      <c r="B443" s="28"/>
      <c r="C443" s="29"/>
      <c r="D443" s="29"/>
      <c r="E443" s="28"/>
      <c r="F443" s="13" t="str">
        <f>IF(A443="","",IF(A443=Agendamento!$C$3,"x",""))</f>
        <v/>
      </c>
      <c r="G443" s="13" t="str">
        <f>IF(A443="","",IF(E443=Agendamento!$C$7,"x",""))</f>
        <v/>
      </c>
      <c r="H443" s="13" t="str">
        <f>IF(A443="","",IF(AND(Agendamento!$C$3="",Agendamento!$C$7&lt;&gt;""),IF(Agendamento!$C$7='Base de Dados'!E443,"x",""),IF(AND(Agendamento!$C$3&lt;&gt;"",Agendamento!$C$7=""),IF(Agendamento!$C$3='Base de Dados'!A443,"x",""),IF(AND(Agendamento!$C$3='Base de Dados'!A443,'Base de Dados'!E443=Agendamento!$C$7),"x",""))))</f>
        <v/>
      </c>
      <c r="I443" s="13" t="str">
        <f>IF(H443="x",COUNT($I$1:I442)+1,"")</f>
        <v/>
      </c>
    </row>
    <row r="444" spans="1:9" x14ac:dyDescent="0.25">
      <c r="A444" s="27"/>
      <c r="B444" s="28"/>
      <c r="C444" s="29"/>
      <c r="D444" s="29"/>
      <c r="E444" s="28"/>
      <c r="F444" s="13" t="str">
        <f>IF(A444="","",IF(A444=Agendamento!$C$3,"x",""))</f>
        <v/>
      </c>
      <c r="G444" s="13" t="str">
        <f>IF(A444="","",IF(E444=Agendamento!$C$7,"x",""))</f>
        <v/>
      </c>
      <c r="H444" s="13" t="str">
        <f>IF(A444="","",IF(AND(Agendamento!$C$3="",Agendamento!$C$7&lt;&gt;""),IF(Agendamento!$C$7='Base de Dados'!E444,"x",""),IF(AND(Agendamento!$C$3&lt;&gt;"",Agendamento!$C$7=""),IF(Agendamento!$C$3='Base de Dados'!A444,"x",""),IF(AND(Agendamento!$C$3='Base de Dados'!A444,'Base de Dados'!E444=Agendamento!$C$7),"x",""))))</f>
        <v/>
      </c>
      <c r="I444" s="13" t="str">
        <f>IF(H444="x",COUNT($I$1:I443)+1,"")</f>
        <v/>
      </c>
    </row>
    <row r="445" spans="1:9" x14ac:dyDescent="0.25">
      <c r="A445" s="27"/>
      <c r="B445" s="28"/>
      <c r="C445" s="29"/>
      <c r="D445" s="29"/>
      <c r="E445" s="28"/>
      <c r="F445" s="13" t="str">
        <f>IF(A445="","",IF(A445=Agendamento!$C$3,"x",""))</f>
        <v/>
      </c>
      <c r="G445" s="13" t="str">
        <f>IF(A445="","",IF(E445=Agendamento!$C$7,"x",""))</f>
        <v/>
      </c>
      <c r="H445" s="13" t="str">
        <f>IF(A445="","",IF(AND(Agendamento!$C$3="",Agendamento!$C$7&lt;&gt;""),IF(Agendamento!$C$7='Base de Dados'!E445,"x",""),IF(AND(Agendamento!$C$3&lt;&gt;"",Agendamento!$C$7=""),IF(Agendamento!$C$3='Base de Dados'!A445,"x",""),IF(AND(Agendamento!$C$3='Base de Dados'!A445,'Base de Dados'!E445=Agendamento!$C$7),"x",""))))</f>
        <v/>
      </c>
      <c r="I445" s="13" t="str">
        <f>IF(H445="x",COUNT($I$1:I444)+1,"")</f>
        <v/>
      </c>
    </row>
    <row r="446" spans="1:9" x14ac:dyDescent="0.25">
      <c r="A446" s="27"/>
      <c r="B446" s="28"/>
      <c r="C446" s="29"/>
      <c r="D446" s="29"/>
      <c r="E446" s="28"/>
      <c r="F446" s="13" t="str">
        <f>IF(A446="","",IF(A446=Agendamento!$C$3,"x",""))</f>
        <v/>
      </c>
      <c r="G446" s="13" t="str">
        <f>IF(A446="","",IF(E446=Agendamento!$C$7,"x",""))</f>
        <v/>
      </c>
      <c r="H446" s="13" t="str">
        <f>IF(A446="","",IF(AND(Agendamento!$C$3="",Agendamento!$C$7&lt;&gt;""),IF(Agendamento!$C$7='Base de Dados'!E446,"x",""),IF(AND(Agendamento!$C$3&lt;&gt;"",Agendamento!$C$7=""),IF(Agendamento!$C$3='Base de Dados'!A446,"x",""),IF(AND(Agendamento!$C$3='Base de Dados'!A446,'Base de Dados'!E446=Agendamento!$C$7),"x",""))))</f>
        <v/>
      </c>
      <c r="I446" s="13" t="str">
        <f>IF(H446="x",COUNT($I$1:I445)+1,"")</f>
        <v/>
      </c>
    </row>
    <row r="447" spans="1:9" x14ac:dyDescent="0.25">
      <c r="A447" s="27"/>
      <c r="B447" s="28"/>
      <c r="C447" s="29"/>
      <c r="D447" s="29"/>
      <c r="E447" s="28"/>
      <c r="F447" s="13" t="str">
        <f>IF(A447="","",IF(A447=Agendamento!$C$3,"x",""))</f>
        <v/>
      </c>
      <c r="G447" s="13" t="str">
        <f>IF(A447="","",IF(E447=Agendamento!$C$7,"x",""))</f>
        <v/>
      </c>
      <c r="H447" s="13" t="str">
        <f>IF(A447="","",IF(AND(Agendamento!$C$3="",Agendamento!$C$7&lt;&gt;""),IF(Agendamento!$C$7='Base de Dados'!E447,"x",""),IF(AND(Agendamento!$C$3&lt;&gt;"",Agendamento!$C$7=""),IF(Agendamento!$C$3='Base de Dados'!A447,"x",""),IF(AND(Agendamento!$C$3='Base de Dados'!A447,'Base de Dados'!E447=Agendamento!$C$7),"x",""))))</f>
        <v/>
      </c>
      <c r="I447" s="13" t="str">
        <f>IF(H447="x",COUNT($I$1:I446)+1,"")</f>
        <v/>
      </c>
    </row>
    <row r="448" spans="1:9" x14ac:dyDescent="0.25">
      <c r="A448" s="27"/>
      <c r="B448" s="28"/>
      <c r="C448" s="29"/>
      <c r="D448" s="29"/>
      <c r="E448" s="28"/>
      <c r="F448" s="13" t="str">
        <f>IF(A448="","",IF(A448=Agendamento!$C$3,"x",""))</f>
        <v/>
      </c>
      <c r="G448" s="13" t="str">
        <f>IF(A448="","",IF(E448=Agendamento!$C$7,"x",""))</f>
        <v/>
      </c>
      <c r="H448" s="13" t="str">
        <f>IF(A448="","",IF(AND(Agendamento!$C$3="",Agendamento!$C$7&lt;&gt;""),IF(Agendamento!$C$7='Base de Dados'!E448,"x",""),IF(AND(Agendamento!$C$3&lt;&gt;"",Agendamento!$C$7=""),IF(Agendamento!$C$3='Base de Dados'!A448,"x",""),IF(AND(Agendamento!$C$3='Base de Dados'!A448,'Base de Dados'!E448=Agendamento!$C$7),"x",""))))</f>
        <v/>
      </c>
      <c r="I448" s="13" t="str">
        <f>IF(H448="x",COUNT($I$1:I447)+1,"")</f>
        <v/>
      </c>
    </row>
    <row r="449" spans="1:9" x14ac:dyDescent="0.25">
      <c r="A449" s="27"/>
      <c r="B449" s="28"/>
      <c r="C449" s="29"/>
      <c r="D449" s="29"/>
      <c r="E449" s="28"/>
      <c r="F449" s="13" t="str">
        <f>IF(A449="","",IF(A449=Agendamento!$C$3,"x",""))</f>
        <v/>
      </c>
      <c r="G449" s="13" t="str">
        <f>IF(A449="","",IF(E449=Agendamento!$C$7,"x",""))</f>
        <v/>
      </c>
      <c r="H449" s="13" t="str">
        <f>IF(A449="","",IF(AND(Agendamento!$C$3="",Agendamento!$C$7&lt;&gt;""),IF(Agendamento!$C$7='Base de Dados'!E449,"x",""),IF(AND(Agendamento!$C$3&lt;&gt;"",Agendamento!$C$7=""),IF(Agendamento!$C$3='Base de Dados'!A449,"x",""),IF(AND(Agendamento!$C$3='Base de Dados'!A449,'Base de Dados'!E449=Agendamento!$C$7),"x",""))))</f>
        <v/>
      </c>
      <c r="I449" s="13" t="str">
        <f>IF(H449="x",COUNT($I$1:I448)+1,"")</f>
        <v/>
      </c>
    </row>
    <row r="450" spans="1:9" x14ac:dyDescent="0.25">
      <c r="A450" s="27"/>
      <c r="B450" s="28"/>
      <c r="C450" s="29"/>
      <c r="D450" s="29"/>
      <c r="E450" s="28"/>
      <c r="F450" s="13" t="str">
        <f>IF(A450="","",IF(A450=Agendamento!$C$3,"x",""))</f>
        <v/>
      </c>
      <c r="G450" s="13" t="str">
        <f>IF(A450="","",IF(E450=Agendamento!$C$7,"x",""))</f>
        <v/>
      </c>
      <c r="H450" s="13" t="str">
        <f>IF(A450="","",IF(AND(Agendamento!$C$3="",Agendamento!$C$7&lt;&gt;""),IF(Agendamento!$C$7='Base de Dados'!E450,"x",""),IF(AND(Agendamento!$C$3&lt;&gt;"",Agendamento!$C$7=""),IF(Agendamento!$C$3='Base de Dados'!A450,"x",""),IF(AND(Agendamento!$C$3='Base de Dados'!A450,'Base de Dados'!E450=Agendamento!$C$7),"x",""))))</f>
        <v/>
      </c>
      <c r="I450" s="13" t="str">
        <f>IF(H450="x",COUNT($I$1:I449)+1,"")</f>
        <v/>
      </c>
    </row>
    <row r="451" spans="1:9" x14ac:dyDescent="0.25">
      <c r="A451" s="27"/>
      <c r="B451" s="28"/>
      <c r="C451" s="29"/>
      <c r="D451" s="29"/>
      <c r="E451" s="28"/>
      <c r="F451" s="13" t="str">
        <f>IF(A451="","",IF(A451=Agendamento!$C$3,"x",""))</f>
        <v/>
      </c>
      <c r="G451" s="13" t="str">
        <f>IF(A451="","",IF(E451=Agendamento!$C$7,"x",""))</f>
        <v/>
      </c>
      <c r="H451" s="13" t="str">
        <f>IF(A451="","",IF(AND(Agendamento!$C$3="",Agendamento!$C$7&lt;&gt;""),IF(Agendamento!$C$7='Base de Dados'!E451,"x",""),IF(AND(Agendamento!$C$3&lt;&gt;"",Agendamento!$C$7=""),IF(Agendamento!$C$3='Base de Dados'!A451,"x",""),IF(AND(Agendamento!$C$3='Base de Dados'!A451,'Base de Dados'!E451=Agendamento!$C$7),"x",""))))</f>
        <v/>
      </c>
      <c r="I451" s="13" t="str">
        <f>IF(H451="x",COUNT($I$1:I450)+1,"")</f>
        <v/>
      </c>
    </row>
    <row r="452" spans="1:9" x14ac:dyDescent="0.25">
      <c r="A452" s="27"/>
      <c r="B452" s="28"/>
      <c r="C452" s="29"/>
      <c r="D452" s="29"/>
      <c r="E452" s="28"/>
      <c r="F452" s="13" t="str">
        <f>IF(A452="","",IF(A452=Agendamento!$C$3,"x",""))</f>
        <v/>
      </c>
      <c r="G452" s="13" t="str">
        <f>IF(A452="","",IF(E452=Agendamento!$C$7,"x",""))</f>
        <v/>
      </c>
      <c r="H452" s="13" t="str">
        <f>IF(A452="","",IF(AND(Agendamento!$C$3="",Agendamento!$C$7&lt;&gt;""),IF(Agendamento!$C$7='Base de Dados'!E452,"x",""),IF(AND(Agendamento!$C$3&lt;&gt;"",Agendamento!$C$7=""),IF(Agendamento!$C$3='Base de Dados'!A452,"x",""),IF(AND(Agendamento!$C$3='Base de Dados'!A452,'Base de Dados'!E452=Agendamento!$C$7),"x",""))))</f>
        <v/>
      </c>
      <c r="I452" s="13" t="str">
        <f>IF(H452="x",COUNT($I$1:I451)+1,"")</f>
        <v/>
      </c>
    </row>
    <row r="453" spans="1:9" x14ac:dyDescent="0.25">
      <c r="A453" s="27"/>
      <c r="B453" s="28"/>
      <c r="C453" s="29"/>
      <c r="D453" s="29"/>
      <c r="E453" s="28"/>
      <c r="F453" s="13" t="str">
        <f>IF(A453="","",IF(A453=Agendamento!$C$3,"x",""))</f>
        <v/>
      </c>
      <c r="G453" s="13" t="str">
        <f>IF(A453="","",IF(E453=Agendamento!$C$7,"x",""))</f>
        <v/>
      </c>
      <c r="H453" s="13" t="str">
        <f>IF(A453="","",IF(AND(Agendamento!$C$3="",Agendamento!$C$7&lt;&gt;""),IF(Agendamento!$C$7='Base de Dados'!E453,"x",""),IF(AND(Agendamento!$C$3&lt;&gt;"",Agendamento!$C$7=""),IF(Agendamento!$C$3='Base de Dados'!A453,"x",""),IF(AND(Agendamento!$C$3='Base de Dados'!A453,'Base de Dados'!E453=Agendamento!$C$7),"x",""))))</f>
        <v/>
      </c>
      <c r="I453" s="13" t="str">
        <f>IF(H453="x",COUNT($I$1:I452)+1,"")</f>
        <v/>
      </c>
    </row>
    <row r="454" spans="1:9" x14ac:dyDescent="0.25">
      <c r="A454" s="27"/>
      <c r="B454" s="28"/>
      <c r="C454" s="29"/>
      <c r="D454" s="29"/>
      <c r="E454" s="28"/>
      <c r="F454" s="13" t="str">
        <f>IF(A454="","",IF(A454=Agendamento!$C$3,"x",""))</f>
        <v/>
      </c>
      <c r="G454" s="13" t="str">
        <f>IF(A454="","",IF(E454=Agendamento!$C$7,"x",""))</f>
        <v/>
      </c>
      <c r="H454" s="13" t="str">
        <f>IF(A454="","",IF(AND(Agendamento!$C$3="",Agendamento!$C$7&lt;&gt;""),IF(Agendamento!$C$7='Base de Dados'!E454,"x",""),IF(AND(Agendamento!$C$3&lt;&gt;"",Agendamento!$C$7=""),IF(Agendamento!$C$3='Base de Dados'!A454,"x",""),IF(AND(Agendamento!$C$3='Base de Dados'!A454,'Base de Dados'!E454=Agendamento!$C$7),"x",""))))</f>
        <v/>
      </c>
      <c r="I454" s="13" t="str">
        <f>IF(H454="x",COUNT($I$1:I453)+1,"")</f>
        <v/>
      </c>
    </row>
    <row r="455" spans="1:9" x14ac:dyDescent="0.25">
      <c r="A455" s="27"/>
      <c r="B455" s="28"/>
      <c r="C455" s="29"/>
      <c r="D455" s="29"/>
      <c r="E455" s="28"/>
      <c r="F455" s="13" t="str">
        <f>IF(A455="","",IF(A455=Agendamento!$C$3,"x",""))</f>
        <v/>
      </c>
      <c r="G455" s="13" t="str">
        <f>IF(A455="","",IF(E455=Agendamento!$C$7,"x",""))</f>
        <v/>
      </c>
      <c r="H455" s="13" t="str">
        <f>IF(A455="","",IF(AND(Agendamento!$C$3="",Agendamento!$C$7&lt;&gt;""),IF(Agendamento!$C$7='Base de Dados'!E455,"x",""),IF(AND(Agendamento!$C$3&lt;&gt;"",Agendamento!$C$7=""),IF(Agendamento!$C$3='Base de Dados'!A455,"x",""),IF(AND(Agendamento!$C$3='Base de Dados'!A455,'Base de Dados'!E455=Agendamento!$C$7),"x",""))))</f>
        <v/>
      </c>
      <c r="I455" s="13" t="str">
        <f>IF(H455="x",COUNT($I$1:I454)+1,"")</f>
        <v/>
      </c>
    </row>
    <row r="456" spans="1:9" x14ac:dyDescent="0.25">
      <c r="A456" s="27"/>
      <c r="B456" s="28"/>
      <c r="C456" s="29"/>
      <c r="D456" s="29"/>
      <c r="E456" s="28"/>
      <c r="F456" s="13" t="str">
        <f>IF(A456="","",IF(A456=Agendamento!$C$3,"x",""))</f>
        <v/>
      </c>
      <c r="G456" s="13" t="str">
        <f>IF(A456="","",IF(E456=Agendamento!$C$7,"x",""))</f>
        <v/>
      </c>
      <c r="H456" s="13" t="str">
        <f>IF(A456="","",IF(AND(Agendamento!$C$3="",Agendamento!$C$7&lt;&gt;""),IF(Agendamento!$C$7='Base de Dados'!E456,"x",""),IF(AND(Agendamento!$C$3&lt;&gt;"",Agendamento!$C$7=""),IF(Agendamento!$C$3='Base de Dados'!A456,"x",""),IF(AND(Agendamento!$C$3='Base de Dados'!A456,'Base de Dados'!E456=Agendamento!$C$7),"x",""))))</f>
        <v/>
      </c>
      <c r="I456" s="13" t="str">
        <f>IF(H456="x",COUNT($I$1:I455)+1,"")</f>
        <v/>
      </c>
    </row>
    <row r="457" spans="1:9" x14ac:dyDescent="0.25">
      <c r="A457" s="27"/>
      <c r="B457" s="28"/>
      <c r="C457" s="29"/>
      <c r="D457" s="29"/>
      <c r="E457" s="28"/>
      <c r="F457" s="13" t="str">
        <f>IF(A457="","",IF(A457=Agendamento!$C$3,"x",""))</f>
        <v/>
      </c>
      <c r="G457" s="13" t="str">
        <f>IF(A457="","",IF(E457=Agendamento!$C$7,"x",""))</f>
        <v/>
      </c>
      <c r="H457" s="13" t="str">
        <f>IF(A457="","",IF(AND(Agendamento!$C$3="",Agendamento!$C$7&lt;&gt;""),IF(Agendamento!$C$7='Base de Dados'!E457,"x",""),IF(AND(Agendamento!$C$3&lt;&gt;"",Agendamento!$C$7=""),IF(Agendamento!$C$3='Base de Dados'!A457,"x",""),IF(AND(Agendamento!$C$3='Base de Dados'!A457,'Base de Dados'!E457=Agendamento!$C$7),"x",""))))</f>
        <v/>
      </c>
      <c r="I457" s="13" t="str">
        <f>IF(H457="x",COUNT($I$1:I456)+1,"")</f>
        <v/>
      </c>
    </row>
    <row r="458" spans="1:9" x14ac:dyDescent="0.25">
      <c r="A458" s="27"/>
      <c r="B458" s="28"/>
      <c r="C458" s="29"/>
      <c r="D458" s="29"/>
      <c r="E458" s="28"/>
      <c r="F458" s="13" t="str">
        <f>IF(A458="","",IF(A458=Agendamento!$C$3,"x",""))</f>
        <v/>
      </c>
      <c r="G458" s="13" t="str">
        <f>IF(A458="","",IF(E458=Agendamento!$C$7,"x",""))</f>
        <v/>
      </c>
      <c r="H458" s="13" t="str">
        <f>IF(A458="","",IF(AND(Agendamento!$C$3="",Agendamento!$C$7&lt;&gt;""),IF(Agendamento!$C$7='Base de Dados'!E458,"x",""),IF(AND(Agendamento!$C$3&lt;&gt;"",Agendamento!$C$7=""),IF(Agendamento!$C$3='Base de Dados'!A458,"x",""),IF(AND(Agendamento!$C$3='Base de Dados'!A458,'Base de Dados'!E458=Agendamento!$C$7),"x",""))))</f>
        <v/>
      </c>
      <c r="I458" s="13" t="str">
        <f>IF(H458="x",COUNT($I$1:I457)+1,"")</f>
        <v/>
      </c>
    </row>
    <row r="459" spans="1:9" x14ac:dyDescent="0.25">
      <c r="A459" s="27"/>
      <c r="B459" s="28"/>
      <c r="C459" s="29"/>
      <c r="D459" s="29"/>
      <c r="E459" s="28"/>
      <c r="F459" s="13" t="str">
        <f>IF(A459="","",IF(A459=Agendamento!$C$3,"x",""))</f>
        <v/>
      </c>
      <c r="G459" s="13" t="str">
        <f>IF(A459="","",IF(E459=Agendamento!$C$7,"x",""))</f>
        <v/>
      </c>
      <c r="H459" s="13" t="str">
        <f>IF(A459="","",IF(AND(Agendamento!$C$3="",Agendamento!$C$7&lt;&gt;""),IF(Agendamento!$C$7='Base de Dados'!E459,"x",""),IF(AND(Agendamento!$C$3&lt;&gt;"",Agendamento!$C$7=""),IF(Agendamento!$C$3='Base de Dados'!A459,"x",""),IF(AND(Agendamento!$C$3='Base de Dados'!A459,'Base de Dados'!E459=Agendamento!$C$7),"x",""))))</f>
        <v/>
      </c>
      <c r="I459" s="13" t="str">
        <f>IF(H459="x",COUNT($I$1:I458)+1,"")</f>
        <v/>
      </c>
    </row>
    <row r="460" spans="1:9" x14ac:dyDescent="0.25">
      <c r="A460" s="27"/>
      <c r="B460" s="28"/>
      <c r="C460" s="29"/>
      <c r="D460" s="29"/>
      <c r="E460" s="28"/>
      <c r="F460" s="13" t="str">
        <f>IF(A460="","",IF(A460=Agendamento!$C$3,"x",""))</f>
        <v/>
      </c>
      <c r="G460" s="13" t="str">
        <f>IF(A460="","",IF(E460=Agendamento!$C$7,"x",""))</f>
        <v/>
      </c>
      <c r="H460" s="13" t="str">
        <f>IF(A460="","",IF(AND(Agendamento!$C$3="",Agendamento!$C$7&lt;&gt;""),IF(Agendamento!$C$7='Base de Dados'!E460,"x",""),IF(AND(Agendamento!$C$3&lt;&gt;"",Agendamento!$C$7=""),IF(Agendamento!$C$3='Base de Dados'!A460,"x",""),IF(AND(Agendamento!$C$3='Base de Dados'!A460,'Base de Dados'!E460=Agendamento!$C$7),"x",""))))</f>
        <v/>
      </c>
      <c r="I460" s="13" t="str">
        <f>IF(H460="x",COUNT($I$1:I459)+1,"")</f>
        <v/>
      </c>
    </row>
    <row r="461" spans="1:9" x14ac:dyDescent="0.25">
      <c r="A461" s="27"/>
      <c r="B461" s="28"/>
      <c r="C461" s="29"/>
      <c r="D461" s="29"/>
      <c r="E461" s="28"/>
      <c r="F461" s="13" t="str">
        <f>IF(A461="","",IF(A461=Agendamento!$C$3,"x",""))</f>
        <v/>
      </c>
      <c r="G461" s="13" t="str">
        <f>IF(A461="","",IF(E461=Agendamento!$C$7,"x",""))</f>
        <v/>
      </c>
      <c r="H461" s="13" t="str">
        <f>IF(A461="","",IF(AND(Agendamento!$C$3="",Agendamento!$C$7&lt;&gt;""),IF(Agendamento!$C$7='Base de Dados'!E461,"x",""),IF(AND(Agendamento!$C$3&lt;&gt;"",Agendamento!$C$7=""),IF(Agendamento!$C$3='Base de Dados'!A461,"x",""),IF(AND(Agendamento!$C$3='Base de Dados'!A461,'Base de Dados'!E461=Agendamento!$C$7),"x",""))))</f>
        <v/>
      </c>
      <c r="I461" s="13" t="str">
        <f>IF(H461="x",COUNT($I$1:I460)+1,"")</f>
        <v/>
      </c>
    </row>
    <row r="462" spans="1:9" x14ac:dyDescent="0.25">
      <c r="A462" s="27"/>
      <c r="B462" s="28"/>
      <c r="C462" s="29"/>
      <c r="D462" s="29"/>
      <c r="E462" s="28"/>
      <c r="F462" s="13" t="str">
        <f>IF(A462="","",IF(A462=Agendamento!$C$3,"x",""))</f>
        <v/>
      </c>
      <c r="G462" s="13" t="str">
        <f>IF(A462="","",IF(E462=Agendamento!$C$7,"x",""))</f>
        <v/>
      </c>
      <c r="H462" s="13" t="str">
        <f>IF(A462="","",IF(AND(Agendamento!$C$3="",Agendamento!$C$7&lt;&gt;""),IF(Agendamento!$C$7='Base de Dados'!E462,"x",""),IF(AND(Agendamento!$C$3&lt;&gt;"",Agendamento!$C$7=""),IF(Agendamento!$C$3='Base de Dados'!A462,"x",""),IF(AND(Agendamento!$C$3='Base de Dados'!A462,'Base de Dados'!E462=Agendamento!$C$7),"x",""))))</f>
        <v/>
      </c>
      <c r="I462" s="13" t="str">
        <f>IF(H462="x",COUNT($I$1:I461)+1,"")</f>
        <v/>
      </c>
    </row>
    <row r="463" spans="1:9" x14ac:dyDescent="0.25">
      <c r="A463" s="27"/>
      <c r="B463" s="28"/>
      <c r="C463" s="29"/>
      <c r="D463" s="29"/>
      <c r="E463" s="28"/>
      <c r="F463" s="13" t="str">
        <f>IF(A463="","",IF(A463=Agendamento!$C$3,"x",""))</f>
        <v/>
      </c>
      <c r="G463" s="13" t="str">
        <f>IF(A463="","",IF(E463=Agendamento!$C$7,"x",""))</f>
        <v/>
      </c>
      <c r="H463" s="13" t="str">
        <f>IF(A463="","",IF(AND(Agendamento!$C$3="",Agendamento!$C$7&lt;&gt;""),IF(Agendamento!$C$7='Base de Dados'!E463,"x",""),IF(AND(Agendamento!$C$3&lt;&gt;"",Agendamento!$C$7=""),IF(Agendamento!$C$3='Base de Dados'!A463,"x",""),IF(AND(Agendamento!$C$3='Base de Dados'!A463,'Base de Dados'!E463=Agendamento!$C$7),"x",""))))</f>
        <v/>
      </c>
      <c r="I463" s="13" t="str">
        <f>IF(H463="x",COUNT($I$1:I462)+1,"")</f>
        <v/>
      </c>
    </row>
    <row r="464" spans="1:9" x14ac:dyDescent="0.25">
      <c r="A464" s="27"/>
      <c r="B464" s="28"/>
      <c r="C464" s="29"/>
      <c r="D464" s="29"/>
      <c r="E464" s="28"/>
      <c r="F464" s="13" t="str">
        <f>IF(A464="","",IF(A464=Agendamento!$C$3,"x",""))</f>
        <v/>
      </c>
      <c r="G464" s="13" t="str">
        <f>IF(A464="","",IF(E464=Agendamento!$C$7,"x",""))</f>
        <v/>
      </c>
      <c r="H464" s="13" t="str">
        <f>IF(A464="","",IF(AND(Agendamento!$C$3="",Agendamento!$C$7&lt;&gt;""),IF(Agendamento!$C$7='Base de Dados'!E464,"x",""),IF(AND(Agendamento!$C$3&lt;&gt;"",Agendamento!$C$7=""),IF(Agendamento!$C$3='Base de Dados'!A464,"x",""),IF(AND(Agendamento!$C$3='Base de Dados'!A464,'Base de Dados'!E464=Agendamento!$C$7),"x",""))))</f>
        <v/>
      </c>
      <c r="I464" s="13" t="str">
        <f>IF(H464="x",COUNT($I$1:I463)+1,"")</f>
        <v/>
      </c>
    </row>
    <row r="465" spans="1:9" x14ac:dyDescent="0.25">
      <c r="A465" s="27"/>
      <c r="B465" s="28"/>
      <c r="C465" s="29"/>
      <c r="D465" s="29"/>
      <c r="E465" s="28"/>
      <c r="F465" s="13" t="str">
        <f>IF(A465="","",IF(A465=Agendamento!$C$3,"x",""))</f>
        <v/>
      </c>
      <c r="G465" s="13" t="str">
        <f>IF(A465="","",IF(E465=Agendamento!$C$7,"x",""))</f>
        <v/>
      </c>
      <c r="H465" s="13" t="str">
        <f>IF(A465="","",IF(AND(Agendamento!$C$3="",Agendamento!$C$7&lt;&gt;""),IF(Agendamento!$C$7='Base de Dados'!E465,"x",""),IF(AND(Agendamento!$C$3&lt;&gt;"",Agendamento!$C$7=""),IF(Agendamento!$C$3='Base de Dados'!A465,"x",""),IF(AND(Agendamento!$C$3='Base de Dados'!A465,'Base de Dados'!E465=Agendamento!$C$7),"x",""))))</f>
        <v/>
      </c>
      <c r="I465" s="13" t="str">
        <f>IF(H465="x",COUNT($I$1:I464)+1,"")</f>
        <v/>
      </c>
    </row>
    <row r="466" spans="1:9" x14ac:dyDescent="0.25">
      <c r="A466" s="27"/>
      <c r="B466" s="28"/>
      <c r="C466" s="29"/>
      <c r="D466" s="29"/>
      <c r="E466" s="28"/>
      <c r="F466" s="13" t="str">
        <f>IF(A466="","",IF(A466=Agendamento!$C$3,"x",""))</f>
        <v/>
      </c>
      <c r="G466" s="13" t="str">
        <f>IF(A466="","",IF(E466=Agendamento!$C$7,"x",""))</f>
        <v/>
      </c>
      <c r="H466" s="13" t="str">
        <f>IF(A466="","",IF(AND(Agendamento!$C$3="",Agendamento!$C$7&lt;&gt;""),IF(Agendamento!$C$7='Base de Dados'!E466,"x",""),IF(AND(Agendamento!$C$3&lt;&gt;"",Agendamento!$C$7=""),IF(Agendamento!$C$3='Base de Dados'!A466,"x",""),IF(AND(Agendamento!$C$3='Base de Dados'!A466,'Base de Dados'!E466=Agendamento!$C$7),"x",""))))</f>
        <v/>
      </c>
      <c r="I466" s="13" t="str">
        <f>IF(H466="x",COUNT($I$1:I465)+1,"")</f>
        <v/>
      </c>
    </row>
    <row r="467" spans="1:9" x14ac:dyDescent="0.25">
      <c r="A467" s="27"/>
      <c r="B467" s="28"/>
      <c r="C467" s="29"/>
      <c r="D467" s="29"/>
      <c r="E467" s="28"/>
      <c r="F467" s="13" t="str">
        <f>IF(A467="","",IF(A467=Agendamento!$C$3,"x",""))</f>
        <v/>
      </c>
      <c r="G467" s="13" t="str">
        <f>IF(A467="","",IF(E467=Agendamento!$C$7,"x",""))</f>
        <v/>
      </c>
      <c r="H467" s="13" t="str">
        <f>IF(A467="","",IF(AND(Agendamento!$C$3="",Agendamento!$C$7&lt;&gt;""),IF(Agendamento!$C$7='Base de Dados'!E467,"x",""),IF(AND(Agendamento!$C$3&lt;&gt;"",Agendamento!$C$7=""),IF(Agendamento!$C$3='Base de Dados'!A467,"x",""),IF(AND(Agendamento!$C$3='Base de Dados'!A467,'Base de Dados'!E467=Agendamento!$C$7),"x",""))))</f>
        <v/>
      </c>
      <c r="I467" s="13" t="str">
        <f>IF(H467="x",COUNT($I$1:I466)+1,"")</f>
        <v/>
      </c>
    </row>
    <row r="468" spans="1:9" x14ac:dyDescent="0.25">
      <c r="A468" s="27"/>
      <c r="B468" s="28"/>
      <c r="C468" s="29"/>
      <c r="D468" s="29"/>
      <c r="E468" s="28"/>
      <c r="F468" s="13" t="str">
        <f>IF(A468="","",IF(A468=Agendamento!$C$3,"x",""))</f>
        <v/>
      </c>
      <c r="G468" s="13" t="str">
        <f>IF(A468="","",IF(E468=Agendamento!$C$7,"x",""))</f>
        <v/>
      </c>
      <c r="H468" s="13" t="str">
        <f>IF(A468="","",IF(AND(Agendamento!$C$3="",Agendamento!$C$7&lt;&gt;""),IF(Agendamento!$C$7='Base de Dados'!E468,"x",""),IF(AND(Agendamento!$C$3&lt;&gt;"",Agendamento!$C$7=""),IF(Agendamento!$C$3='Base de Dados'!A468,"x",""),IF(AND(Agendamento!$C$3='Base de Dados'!A468,'Base de Dados'!E468=Agendamento!$C$7),"x",""))))</f>
        <v/>
      </c>
      <c r="I468" s="13" t="str">
        <f>IF(H468="x",COUNT($I$1:I467)+1,"")</f>
        <v/>
      </c>
    </row>
    <row r="469" spans="1:9" x14ac:dyDescent="0.25">
      <c r="A469" s="27"/>
      <c r="B469" s="28"/>
      <c r="C469" s="29"/>
      <c r="D469" s="29"/>
      <c r="E469" s="28"/>
      <c r="F469" s="13" t="str">
        <f>IF(A469="","",IF(A469=Agendamento!$C$3,"x",""))</f>
        <v/>
      </c>
      <c r="G469" s="13" t="str">
        <f>IF(A469="","",IF(E469=Agendamento!$C$7,"x",""))</f>
        <v/>
      </c>
      <c r="H469" s="13" t="str">
        <f>IF(A469="","",IF(AND(Agendamento!$C$3="",Agendamento!$C$7&lt;&gt;""),IF(Agendamento!$C$7='Base de Dados'!E469,"x",""),IF(AND(Agendamento!$C$3&lt;&gt;"",Agendamento!$C$7=""),IF(Agendamento!$C$3='Base de Dados'!A469,"x",""),IF(AND(Agendamento!$C$3='Base de Dados'!A469,'Base de Dados'!E469=Agendamento!$C$7),"x",""))))</f>
        <v/>
      </c>
      <c r="I469" s="13" t="str">
        <f>IF(H469="x",COUNT($I$1:I468)+1,"")</f>
        <v/>
      </c>
    </row>
    <row r="470" spans="1:9" x14ac:dyDescent="0.25">
      <c r="A470" s="27"/>
      <c r="B470" s="28"/>
      <c r="C470" s="29"/>
      <c r="D470" s="29"/>
      <c r="E470" s="28"/>
      <c r="F470" s="13" t="str">
        <f>IF(A470="","",IF(A470=Agendamento!$C$3,"x",""))</f>
        <v/>
      </c>
      <c r="G470" s="13" t="str">
        <f>IF(A470="","",IF(E470=Agendamento!$C$7,"x",""))</f>
        <v/>
      </c>
      <c r="H470" s="13" t="str">
        <f>IF(A470="","",IF(AND(Agendamento!$C$3="",Agendamento!$C$7&lt;&gt;""),IF(Agendamento!$C$7='Base de Dados'!E470,"x",""),IF(AND(Agendamento!$C$3&lt;&gt;"",Agendamento!$C$7=""),IF(Agendamento!$C$3='Base de Dados'!A470,"x",""),IF(AND(Agendamento!$C$3='Base de Dados'!A470,'Base de Dados'!E470=Agendamento!$C$7),"x",""))))</f>
        <v/>
      </c>
      <c r="I470" s="13" t="str">
        <f>IF(H470="x",COUNT($I$1:I469)+1,"")</f>
        <v/>
      </c>
    </row>
    <row r="471" spans="1:9" x14ac:dyDescent="0.25">
      <c r="A471" s="27"/>
      <c r="B471" s="28"/>
      <c r="C471" s="29"/>
      <c r="D471" s="29"/>
      <c r="E471" s="28"/>
      <c r="F471" s="13" t="str">
        <f>IF(A471="","",IF(A471=Agendamento!$C$3,"x",""))</f>
        <v/>
      </c>
      <c r="G471" s="13" t="str">
        <f>IF(A471="","",IF(E471=Agendamento!$C$7,"x",""))</f>
        <v/>
      </c>
      <c r="H471" s="13" t="str">
        <f>IF(A471="","",IF(AND(Agendamento!$C$3="",Agendamento!$C$7&lt;&gt;""),IF(Agendamento!$C$7='Base de Dados'!E471,"x",""),IF(AND(Agendamento!$C$3&lt;&gt;"",Agendamento!$C$7=""),IF(Agendamento!$C$3='Base de Dados'!A471,"x",""),IF(AND(Agendamento!$C$3='Base de Dados'!A471,'Base de Dados'!E471=Agendamento!$C$7),"x",""))))</f>
        <v/>
      </c>
      <c r="I471" s="13" t="str">
        <f>IF(H471="x",COUNT($I$1:I470)+1,"")</f>
        <v/>
      </c>
    </row>
    <row r="472" spans="1:9" x14ac:dyDescent="0.25">
      <c r="A472" s="27"/>
      <c r="B472" s="28"/>
      <c r="C472" s="29"/>
      <c r="D472" s="29"/>
      <c r="E472" s="28"/>
      <c r="F472" s="13" t="str">
        <f>IF(A472="","",IF(A472=Agendamento!$C$3,"x",""))</f>
        <v/>
      </c>
      <c r="G472" s="13" t="str">
        <f>IF(A472="","",IF(E472=Agendamento!$C$7,"x",""))</f>
        <v/>
      </c>
      <c r="H472" s="13" t="str">
        <f>IF(A472="","",IF(AND(Agendamento!$C$3="",Agendamento!$C$7&lt;&gt;""),IF(Agendamento!$C$7='Base de Dados'!E472,"x",""),IF(AND(Agendamento!$C$3&lt;&gt;"",Agendamento!$C$7=""),IF(Agendamento!$C$3='Base de Dados'!A472,"x",""),IF(AND(Agendamento!$C$3='Base de Dados'!A472,'Base de Dados'!E472=Agendamento!$C$7),"x",""))))</f>
        <v/>
      </c>
      <c r="I472" s="13" t="str">
        <f>IF(H472="x",COUNT($I$1:I471)+1,"")</f>
        <v/>
      </c>
    </row>
    <row r="473" spans="1:9" x14ac:dyDescent="0.25">
      <c r="A473" s="27"/>
      <c r="B473" s="28"/>
      <c r="C473" s="29"/>
      <c r="D473" s="29"/>
      <c r="E473" s="28"/>
      <c r="F473" s="13" t="str">
        <f>IF(A473="","",IF(A473=Agendamento!$C$3,"x",""))</f>
        <v/>
      </c>
      <c r="G473" s="13" t="str">
        <f>IF(A473="","",IF(E473=Agendamento!$C$7,"x",""))</f>
        <v/>
      </c>
      <c r="H473" s="13" t="str">
        <f>IF(A473="","",IF(AND(Agendamento!$C$3="",Agendamento!$C$7&lt;&gt;""),IF(Agendamento!$C$7='Base de Dados'!E473,"x",""),IF(AND(Agendamento!$C$3&lt;&gt;"",Agendamento!$C$7=""),IF(Agendamento!$C$3='Base de Dados'!A473,"x",""),IF(AND(Agendamento!$C$3='Base de Dados'!A473,'Base de Dados'!E473=Agendamento!$C$7),"x",""))))</f>
        <v/>
      </c>
      <c r="I473" s="13" t="str">
        <f>IF(H473="x",COUNT($I$1:I472)+1,"")</f>
        <v/>
      </c>
    </row>
    <row r="474" spans="1:9" x14ac:dyDescent="0.25">
      <c r="A474" s="27"/>
      <c r="B474" s="28"/>
      <c r="C474" s="29"/>
      <c r="D474" s="29"/>
      <c r="E474" s="28"/>
      <c r="F474" s="13" t="str">
        <f>IF(A474="","",IF(A474=Agendamento!$C$3,"x",""))</f>
        <v/>
      </c>
      <c r="G474" s="13" t="str">
        <f>IF(A474="","",IF(E474=Agendamento!$C$7,"x",""))</f>
        <v/>
      </c>
      <c r="H474" s="13" t="str">
        <f>IF(A474="","",IF(AND(Agendamento!$C$3="",Agendamento!$C$7&lt;&gt;""),IF(Agendamento!$C$7='Base de Dados'!E474,"x",""),IF(AND(Agendamento!$C$3&lt;&gt;"",Agendamento!$C$7=""),IF(Agendamento!$C$3='Base de Dados'!A474,"x",""),IF(AND(Agendamento!$C$3='Base de Dados'!A474,'Base de Dados'!E474=Agendamento!$C$7),"x",""))))</f>
        <v/>
      </c>
      <c r="I474" s="13" t="str">
        <f>IF(H474="x",COUNT($I$1:I473)+1,"")</f>
        <v/>
      </c>
    </row>
    <row r="475" spans="1:9" x14ac:dyDescent="0.25">
      <c r="A475" s="27"/>
      <c r="B475" s="28"/>
      <c r="C475" s="29"/>
      <c r="D475" s="29"/>
      <c r="E475" s="28"/>
      <c r="F475" s="13" t="str">
        <f>IF(A475="","",IF(A475=Agendamento!$C$3,"x",""))</f>
        <v/>
      </c>
      <c r="G475" s="13" t="str">
        <f>IF(A475="","",IF(E475=Agendamento!$C$7,"x",""))</f>
        <v/>
      </c>
      <c r="H475" s="13" t="str">
        <f>IF(A475="","",IF(AND(Agendamento!$C$3="",Agendamento!$C$7&lt;&gt;""),IF(Agendamento!$C$7='Base de Dados'!E475,"x",""),IF(AND(Agendamento!$C$3&lt;&gt;"",Agendamento!$C$7=""),IF(Agendamento!$C$3='Base de Dados'!A475,"x",""),IF(AND(Agendamento!$C$3='Base de Dados'!A475,'Base de Dados'!E475=Agendamento!$C$7),"x",""))))</f>
        <v/>
      </c>
      <c r="I475" s="13" t="str">
        <f>IF(H475="x",COUNT($I$1:I474)+1,"")</f>
        <v/>
      </c>
    </row>
    <row r="476" spans="1:9" x14ac:dyDescent="0.25">
      <c r="A476" s="27"/>
      <c r="B476" s="28"/>
      <c r="C476" s="29"/>
      <c r="D476" s="29"/>
      <c r="E476" s="28"/>
      <c r="F476" s="13" t="str">
        <f>IF(A476="","",IF(A476=Agendamento!$C$3,"x",""))</f>
        <v/>
      </c>
      <c r="G476" s="13" t="str">
        <f>IF(A476="","",IF(E476=Agendamento!$C$7,"x",""))</f>
        <v/>
      </c>
      <c r="H476" s="13" t="str">
        <f>IF(A476="","",IF(AND(Agendamento!$C$3="",Agendamento!$C$7&lt;&gt;""),IF(Agendamento!$C$7='Base de Dados'!E476,"x",""),IF(AND(Agendamento!$C$3&lt;&gt;"",Agendamento!$C$7=""),IF(Agendamento!$C$3='Base de Dados'!A476,"x",""),IF(AND(Agendamento!$C$3='Base de Dados'!A476,'Base de Dados'!E476=Agendamento!$C$7),"x",""))))</f>
        <v/>
      </c>
      <c r="I476" s="13" t="str">
        <f>IF(H476="x",COUNT($I$1:I475)+1,"")</f>
        <v/>
      </c>
    </row>
    <row r="477" spans="1:9" x14ac:dyDescent="0.25">
      <c r="A477" s="27"/>
      <c r="B477" s="28"/>
      <c r="C477" s="29"/>
      <c r="D477" s="29"/>
      <c r="E477" s="28"/>
      <c r="F477" s="13" t="str">
        <f>IF(A477="","",IF(A477=Agendamento!$C$3,"x",""))</f>
        <v/>
      </c>
      <c r="G477" s="13" t="str">
        <f>IF(A477="","",IF(E477=Agendamento!$C$7,"x",""))</f>
        <v/>
      </c>
      <c r="H477" s="13" t="str">
        <f>IF(A477="","",IF(AND(Agendamento!$C$3="",Agendamento!$C$7&lt;&gt;""),IF(Agendamento!$C$7='Base de Dados'!E477,"x",""),IF(AND(Agendamento!$C$3&lt;&gt;"",Agendamento!$C$7=""),IF(Agendamento!$C$3='Base de Dados'!A477,"x",""),IF(AND(Agendamento!$C$3='Base de Dados'!A477,'Base de Dados'!E477=Agendamento!$C$7),"x",""))))</f>
        <v/>
      </c>
      <c r="I477" s="13" t="str">
        <f>IF(H477="x",COUNT($I$1:I476)+1,"")</f>
        <v/>
      </c>
    </row>
    <row r="478" spans="1:9" x14ac:dyDescent="0.25">
      <c r="A478" s="27"/>
      <c r="B478" s="28"/>
      <c r="C478" s="29"/>
      <c r="D478" s="29"/>
      <c r="E478" s="28"/>
      <c r="F478" s="13" t="str">
        <f>IF(A478="","",IF(A478=Agendamento!$C$3,"x",""))</f>
        <v/>
      </c>
      <c r="G478" s="13" t="str">
        <f>IF(A478="","",IF(E478=Agendamento!$C$7,"x",""))</f>
        <v/>
      </c>
      <c r="H478" s="13" t="str">
        <f>IF(A478="","",IF(AND(Agendamento!$C$3="",Agendamento!$C$7&lt;&gt;""),IF(Agendamento!$C$7='Base de Dados'!E478,"x",""),IF(AND(Agendamento!$C$3&lt;&gt;"",Agendamento!$C$7=""),IF(Agendamento!$C$3='Base de Dados'!A478,"x",""),IF(AND(Agendamento!$C$3='Base de Dados'!A478,'Base de Dados'!E478=Agendamento!$C$7),"x",""))))</f>
        <v/>
      </c>
      <c r="I478" s="13" t="str">
        <f>IF(H478="x",COUNT($I$1:I477)+1,"")</f>
        <v/>
      </c>
    </row>
    <row r="479" spans="1:9" x14ac:dyDescent="0.25">
      <c r="A479" s="27"/>
      <c r="B479" s="28"/>
      <c r="C479" s="29"/>
      <c r="D479" s="29"/>
      <c r="E479" s="28"/>
      <c r="F479" s="13" t="str">
        <f>IF(A479="","",IF(A479=Agendamento!$C$3,"x",""))</f>
        <v/>
      </c>
      <c r="G479" s="13" t="str">
        <f>IF(A479="","",IF(E479=Agendamento!$C$7,"x",""))</f>
        <v/>
      </c>
      <c r="H479" s="13" t="str">
        <f>IF(A479="","",IF(AND(Agendamento!$C$3="",Agendamento!$C$7&lt;&gt;""),IF(Agendamento!$C$7='Base de Dados'!E479,"x",""),IF(AND(Agendamento!$C$3&lt;&gt;"",Agendamento!$C$7=""),IF(Agendamento!$C$3='Base de Dados'!A479,"x",""),IF(AND(Agendamento!$C$3='Base de Dados'!A479,'Base de Dados'!E479=Agendamento!$C$7),"x",""))))</f>
        <v/>
      </c>
      <c r="I479" s="13" t="str">
        <f>IF(H479="x",COUNT($I$1:I478)+1,"")</f>
        <v/>
      </c>
    </row>
    <row r="480" spans="1:9" x14ac:dyDescent="0.25">
      <c r="A480" s="27"/>
      <c r="B480" s="28"/>
      <c r="C480" s="29"/>
      <c r="D480" s="29"/>
      <c r="E480" s="28"/>
      <c r="F480" s="13" t="str">
        <f>IF(A480="","",IF(A480=Agendamento!$C$3,"x",""))</f>
        <v/>
      </c>
      <c r="G480" s="13" t="str">
        <f>IF(A480="","",IF(E480=Agendamento!$C$7,"x",""))</f>
        <v/>
      </c>
      <c r="H480" s="13" t="str">
        <f>IF(A480="","",IF(AND(Agendamento!$C$3="",Agendamento!$C$7&lt;&gt;""),IF(Agendamento!$C$7='Base de Dados'!E480,"x",""),IF(AND(Agendamento!$C$3&lt;&gt;"",Agendamento!$C$7=""),IF(Agendamento!$C$3='Base de Dados'!A480,"x",""),IF(AND(Agendamento!$C$3='Base de Dados'!A480,'Base de Dados'!E480=Agendamento!$C$7),"x",""))))</f>
        <v/>
      </c>
      <c r="I480" s="13" t="str">
        <f>IF(H480="x",COUNT($I$1:I479)+1,"")</f>
        <v/>
      </c>
    </row>
    <row r="481" spans="1:9" x14ac:dyDescent="0.25">
      <c r="A481" s="27"/>
      <c r="B481" s="28"/>
      <c r="C481" s="29"/>
      <c r="D481" s="29"/>
      <c r="E481" s="28"/>
      <c r="F481" s="13" t="str">
        <f>IF(A481="","",IF(A481=Agendamento!$C$3,"x",""))</f>
        <v/>
      </c>
      <c r="G481" s="13" t="str">
        <f>IF(A481="","",IF(E481=Agendamento!$C$7,"x",""))</f>
        <v/>
      </c>
      <c r="H481" s="13" t="str">
        <f>IF(A481="","",IF(AND(Agendamento!$C$3="",Agendamento!$C$7&lt;&gt;""),IF(Agendamento!$C$7='Base de Dados'!E481,"x",""),IF(AND(Agendamento!$C$3&lt;&gt;"",Agendamento!$C$7=""),IF(Agendamento!$C$3='Base de Dados'!A481,"x",""),IF(AND(Agendamento!$C$3='Base de Dados'!A481,'Base de Dados'!E481=Agendamento!$C$7),"x",""))))</f>
        <v/>
      </c>
      <c r="I481" s="13" t="str">
        <f>IF(H481="x",COUNT($I$1:I480)+1,"")</f>
        <v/>
      </c>
    </row>
    <row r="482" spans="1:9" x14ac:dyDescent="0.25">
      <c r="A482" s="27"/>
      <c r="B482" s="28"/>
      <c r="C482" s="29"/>
      <c r="D482" s="29"/>
      <c r="E482" s="28"/>
      <c r="F482" s="13" t="str">
        <f>IF(A482="","",IF(A482=Agendamento!$C$3,"x",""))</f>
        <v/>
      </c>
      <c r="G482" s="13" t="str">
        <f>IF(A482="","",IF(E482=Agendamento!$C$7,"x",""))</f>
        <v/>
      </c>
      <c r="H482" s="13" t="str">
        <f>IF(A482="","",IF(AND(Agendamento!$C$3="",Agendamento!$C$7&lt;&gt;""),IF(Agendamento!$C$7='Base de Dados'!E482,"x",""),IF(AND(Agendamento!$C$3&lt;&gt;"",Agendamento!$C$7=""),IF(Agendamento!$C$3='Base de Dados'!A482,"x",""),IF(AND(Agendamento!$C$3='Base de Dados'!A482,'Base de Dados'!E482=Agendamento!$C$7),"x",""))))</f>
        <v/>
      </c>
      <c r="I482" s="13" t="str">
        <f>IF(H482="x",COUNT($I$1:I481)+1,"")</f>
        <v/>
      </c>
    </row>
    <row r="483" spans="1:9" x14ac:dyDescent="0.25">
      <c r="A483" s="27"/>
      <c r="B483" s="28"/>
      <c r="C483" s="29"/>
      <c r="D483" s="29"/>
      <c r="E483" s="28"/>
      <c r="F483" s="13" t="str">
        <f>IF(A483="","",IF(A483=Agendamento!$C$3,"x",""))</f>
        <v/>
      </c>
      <c r="G483" s="13" t="str">
        <f>IF(A483="","",IF(E483=Agendamento!$C$7,"x",""))</f>
        <v/>
      </c>
      <c r="H483" s="13" t="str">
        <f>IF(A483="","",IF(AND(Agendamento!$C$3="",Agendamento!$C$7&lt;&gt;""),IF(Agendamento!$C$7='Base de Dados'!E483,"x",""),IF(AND(Agendamento!$C$3&lt;&gt;"",Agendamento!$C$7=""),IF(Agendamento!$C$3='Base de Dados'!A483,"x",""),IF(AND(Agendamento!$C$3='Base de Dados'!A483,'Base de Dados'!E483=Agendamento!$C$7),"x",""))))</f>
        <v/>
      </c>
      <c r="I483" s="13" t="str">
        <f>IF(H483="x",COUNT($I$1:I482)+1,"")</f>
        <v/>
      </c>
    </row>
    <row r="484" spans="1:9" x14ac:dyDescent="0.25">
      <c r="A484" s="27"/>
      <c r="B484" s="28"/>
      <c r="C484" s="29"/>
      <c r="D484" s="29"/>
      <c r="E484" s="28"/>
      <c r="F484" s="13" t="str">
        <f>IF(A484="","",IF(A484=Agendamento!$C$3,"x",""))</f>
        <v/>
      </c>
      <c r="G484" s="13" t="str">
        <f>IF(A484="","",IF(E484=Agendamento!$C$7,"x",""))</f>
        <v/>
      </c>
      <c r="H484" s="13" t="str">
        <f>IF(A484="","",IF(AND(Agendamento!$C$3="",Agendamento!$C$7&lt;&gt;""),IF(Agendamento!$C$7='Base de Dados'!E484,"x",""),IF(AND(Agendamento!$C$3&lt;&gt;"",Agendamento!$C$7=""),IF(Agendamento!$C$3='Base de Dados'!A484,"x",""),IF(AND(Agendamento!$C$3='Base de Dados'!A484,'Base de Dados'!E484=Agendamento!$C$7),"x",""))))</f>
        <v/>
      </c>
      <c r="I484" s="13" t="str">
        <f>IF(H484="x",COUNT($I$1:I483)+1,"")</f>
        <v/>
      </c>
    </row>
    <row r="485" spans="1:9" x14ac:dyDescent="0.25">
      <c r="A485" s="27"/>
      <c r="B485" s="28"/>
      <c r="C485" s="29"/>
      <c r="D485" s="29"/>
      <c r="E485" s="28"/>
      <c r="F485" s="13" t="str">
        <f>IF(A485="","",IF(A485=Agendamento!$C$3,"x",""))</f>
        <v/>
      </c>
      <c r="G485" s="13" t="str">
        <f>IF(A485="","",IF(E485=Agendamento!$C$7,"x",""))</f>
        <v/>
      </c>
      <c r="H485" s="13" t="str">
        <f>IF(A485="","",IF(AND(Agendamento!$C$3="",Agendamento!$C$7&lt;&gt;""),IF(Agendamento!$C$7='Base de Dados'!E485,"x",""),IF(AND(Agendamento!$C$3&lt;&gt;"",Agendamento!$C$7=""),IF(Agendamento!$C$3='Base de Dados'!A485,"x",""),IF(AND(Agendamento!$C$3='Base de Dados'!A485,'Base de Dados'!E485=Agendamento!$C$7),"x",""))))</f>
        <v/>
      </c>
      <c r="I485" s="13" t="str">
        <f>IF(H485="x",COUNT($I$1:I484)+1,"")</f>
        <v/>
      </c>
    </row>
    <row r="486" spans="1:9" x14ac:dyDescent="0.25">
      <c r="A486" s="27"/>
      <c r="B486" s="28"/>
      <c r="C486" s="29"/>
      <c r="D486" s="29"/>
      <c r="E486" s="28"/>
      <c r="F486" s="13" t="str">
        <f>IF(A486="","",IF(A486=Agendamento!$C$3,"x",""))</f>
        <v/>
      </c>
      <c r="G486" s="13" t="str">
        <f>IF(A486="","",IF(E486=Agendamento!$C$7,"x",""))</f>
        <v/>
      </c>
      <c r="H486" s="13" t="str">
        <f>IF(A486="","",IF(AND(Agendamento!$C$3="",Agendamento!$C$7&lt;&gt;""),IF(Agendamento!$C$7='Base de Dados'!E486,"x",""),IF(AND(Agendamento!$C$3&lt;&gt;"",Agendamento!$C$7=""),IF(Agendamento!$C$3='Base de Dados'!A486,"x",""),IF(AND(Agendamento!$C$3='Base de Dados'!A486,'Base de Dados'!E486=Agendamento!$C$7),"x",""))))</f>
        <v/>
      </c>
      <c r="I486" s="13" t="str">
        <f>IF(H486="x",COUNT($I$1:I485)+1,"")</f>
        <v/>
      </c>
    </row>
    <row r="487" spans="1:9" x14ac:dyDescent="0.25">
      <c r="A487" s="27"/>
      <c r="B487" s="28"/>
      <c r="C487" s="29"/>
      <c r="D487" s="29"/>
      <c r="E487" s="28"/>
      <c r="F487" s="13" t="str">
        <f>IF(A487="","",IF(A487=Agendamento!$C$3,"x",""))</f>
        <v/>
      </c>
      <c r="G487" s="13" t="str">
        <f>IF(A487="","",IF(E487=Agendamento!$C$7,"x",""))</f>
        <v/>
      </c>
      <c r="H487" s="13" t="str">
        <f>IF(A487="","",IF(AND(Agendamento!$C$3="",Agendamento!$C$7&lt;&gt;""),IF(Agendamento!$C$7='Base de Dados'!E487,"x",""),IF(AND(Agendamento!$C$3&lt;&gt;"",Agendamento!$C$7=""),IF(Agendamento!$C$3='Base de Dados'!A487,"x",""),IF(AND(Agendamento!$C$3='Base de Dados'!A487,'Base de Dados'!E487=Agendamento!$C$7),"x",""))))</f>
        <v/>
      </c>
      <c r="I487" s="13" t="str">
        <f>IF(H487="x",COUNT($I$1:I486)+1,"")</f>
        <v/>
      </c>
    </row>
    <row r="488" spans="1:9" x14ac:dyDescent="0.25">
      <c r="A488" s="27"/>
      <c r="B488" s="28"/>
      <c r="C488" s="29"/>
      <c r="D488" s="29"/>
      <c r="E488" s="28"/>
      <c r="F488" s="13" t="str">
        <f>IF(A488="","",IF(A488=Agendamento!$C$3,"x",""))</f>
        <v/>
      </c>
      <c r="G488" s="13" t="str">
        <f>IF(A488="","",IF(E488=Agendamento!$C$7,"x",""))</f>
        <v/>
      </c>
      <c r="H488" s="13" t="str">
        <f>IF(A488="","",IF(AND(Agendamento!$C$3="",Agendamento!$C$7&lt;&gt;""),IF(Agendamento!$C$7='Base de Dados'!E488,"x",""),IF(AND(Agendamento!$C$3&lt;&gt;"",Agendamento!$C$7=""),IF(Agendamento!$C$3='Base de Dados'!A488,"x",""),IF(AND(Agendamento!$C$3='Base de Dados'!A488,'Base de Dados'!E488=Agendamento!$C$7),"x",""))))</f>
        <v/>
      </c>
      <c r="I488" s="13" t="str">
        <f>IF(H488="x",COUNT($I$1:I487)+1,"")</f>
        <v/>
      </c>
    </row>
    <row r="489" spans="1:9" x14ac:dyDescent="0.25">
      <c r="A489" s="27"/>
      <c r="B489" s="28"/>
      <c r="C489" s="29"/>
      <c r="D489" s="29"/>
      <c r="E489" s="28"/>
      <c r="F489" s="13" t="str">
        <f>IF(A489="","",IF(A489=Agendamento!$C$3,"x",""))</f>
        <v/>
      </c>
      <c r="G489" s="13" t="str">
        <f>IF(A489="","",IF(E489=Agendamento!$C$7,"x",""))</f>
        <v/>
      </c>
      <c r="H489" s="13" t="str">
        <f>IF(A489="","",IF(AND(Agendamento!$C$3="",Agendamento!$C$7&lt;&gt;""),IF(Agendamento!$C$7='Base de Dados'!E489,"x",""),IF(AND(Agendamento!$C$3&lt;&gt;"",Agendamento!$C$7=""),IF(Agendamento!$C$3='Base de Dados'!A489,"x",""),IF(AND(Agendamento!$C$3='Base de Dados'!A489,'Base de Dados'!E489=Agendamento!$C$7),"x",""))))</f>
        <v/>
      </c>
      <c r="I489" s="13" t="str">
        <f>IF(H489="x",COUNT($I$1:I488)+1,"")</f>
        <v/>
      </c>
    </row>
    <row r="490" spans="1:9" x14ac:dyDescent="0.25">
      <c r="A490" s="27"/>
      <c r="B490" s="28"/>
      <c r="C490" s="29"/>
      <c r="D490" s="29"/>
      <c r="E490" s="28"/>
      <c r="F490" s="13" t="str">
        <f>IF(A490="","",IF(A490=Agendamento!$C$3,"x",""))</f>
        <v/>
      </c>
      <c r="G490" s="13" t="str">
        <f>IF(A490="","",IF(E490=Agendamento!$C$7,"x",""))</f>
        <v/>
      </c>
      <c r="H490" s="13" t="str">
        <f>IF(A490="","",IF(AND(Agendamento!$C$3="",Agendamento!$C$7&lt;&gt;""),IF(Agendamento!$C$7='Base de Dados'!E490,"x",""),IF(AND(Agendamento!$C$3&lt;&gt;"",Agendamento!$C$7=""),IF(Agendamento!$C$3='Base de Dados'!A490,"x",""),IF(AND(Agendamento!$C$3='Base de Dados'!A490,'Base de Dados'!E490=Agendamento!$C$7),"x",""))))</f>
        <v/>
      </c>
      <c r="I490" s="13" t="str">
        <f>IF(H490="x",COUNT($I$1:I489)+1,"")</f>
        <v/>
      </c>
    </row>
    <row r="491" spans="1:9" x14ac:dyDescent="0.25">
      <c r="A491" s="27"/>
      <c r="B491" s="28"/>
      <c r="C491" s="29"/>
      <c r="D491" s="29"/>
      <c r="E491" s="28"/>
      <c r="F491" s="13" t="str">
        <f>IF(A491="","",IF(A491=Agendamento!$C$3,"x",""))</f>
        <v/>
      </c>
      <c r="G491" s="13" t="str">
        <f>IF(A491="","",IF(E491=Agendamento!$C$7,"x",""))</f>
        <v/>
      </c>
      <c r="H491" s="13" t="str">
        <f>IF(A491="","",IF(AND(Agendamento!$C$3="",Agendamento!$C$7&lt;&gt;""),IF(Agendamento!$C$7='Base de Dados'!E491,"x",""),IF(AND(Agendamento!$C$3&lt;&gt;"",Agendamento!$C$7=""),IF(Agendamento!$C$3='Base de Dados'!A491,"x",""),IF(AND(Agendamento!$C$3='Base de Dados'!A491,'Base de Dados'!E491=Agendamento!$C$7),"x",""))))</f>
        <v/>
      </c>
      <c r="I491" s="13" t="str">
        <f>IF(H491="x",COUNT($I$1:I490)+1,"")</f>
        <v/>
      </c>
    </row>
    <row r="492" spans="1:9" x14ac:dyDescent="0.25">
      <c r="A492" s="27"/>
      <c r="B492" s="28"/>
      <c r="C492" s="29"/>
      <c r="D492" s="29"/>
      <c r="E492" s="28"/>
      <c r="F492" s="13" t="str">
        <f>IF(A492="","",IF(A492=Agendamento!$C$3,"x",""))</f>
        <v/>
      </c>
      <c r="G492" s="13" t="str">
        <f>IF(A492="","",IF(E492=Agendamento!$C$7,"x",""))</f>
        <v/>
      </c>
      <c r="H492" s="13" t="str">
        <f>IF(A492="","",IF(AND(Agendamento!$C$3="",Agendamento!$C$7&lt;&gt;""),IF(Agendamento!$C$7='Base de Dados'!E492,"x",""),IF(AND(Agendamento!$C$3&lt;&gt;"",Agendamento!$C$7=""),IF(Agendamento!$C$3='Base de Dados'!A492,"x",""),IF(AND(Agendamento!$C$3='Base de Dados'!A492,'Base de Dados'!E492=Agendamento!$C$7),"x",""))))</f>
        <v/>
      </c>
      <c r="I492" s="13" t="str">
        <f>IF(H492="x",COUNT($I$1:I491)+1,"")</f>
        <v/>
      </c>
    </row>
    <row r="493" spans="1:9" x14ac:dyDescent="0.25">
      <c r="A493" s="27"/>
      <c r="B493" s="28"/>
      <c r="C493" s="29"/>
      <c r="D493" s="29"/>
      <c r="E493" s="28"/>
      <c r="F493" s="13" t="str">
        <f>IF(A493="","",IF(A493=Agendamento!$C$3,"x",""))</f>
        <v/>
      </c>
      <c r="G493" s="13" t="str">
        <f>IF(A493="","",IF(E493=Agendamento!$C$7,"x",""))</f>
        <v/>
      </c>
      <c r="H493" s="13" t="str">
        <f>IF(A493="","",IF(AND(Agendamento!$C$3="",Agendamento!$C$7&lt;&gt;""),IF(Agendamento!$C$7='Base de Dados'!E493,"x",""),IF(AND(Agendamento!$C$3&lt;&gt;"",Agendamento!$C$7=""),IF(Agendamento!$C$3='Base de Dados'!A493,"x",""),IF(AND(Agendamento!$C$3='Base de Dados'!A493,'Base de Dados'!E493=Agendamento!$C$7),"x",""))))</f>
        <v/>
      </c>
      <c r="I493" s="13" t="str">
        <f>IF(H493="x",COUNT($I$1:I492)+1,"")</f>
        <v/>
      </c>
    </row>
    <row r="494" spans="1:9" x14ac:dyDescent="0.25">
      <c r="A494" s="27"/>
      <c r="B494" s="28"/>
      <c r="C494" s="29"/>
      <c r="D494" s="29"/>
      <c r="E494" s="28"/>
      <c r="F494" s="13" t="str">
        <f>IF(A494="","",IF(A494=Agendamento!$C$3,"x",""))</f>
        <v/>
      </c>
      <c r="G494" s="13" t="str">
        <f>IF(A494="","",IF(E494=Agendamento!$C$7,"x",""))</f>
        <v/>
      </c>
      <c r="H494" s="13" t="str">
        <f>IF(A494="","",IF(AND(Agendamento!$C$3="",Agendamento!$C$7&lt;&gt;""),IF(Agendamento!$C$7='Base de Dados'!E494,"x",""),IF(AND(Agendamento!$C$3&lt;&gt;"",Agendamento!$C$7=""),IF(Agendamento!$C$3='Base de Dados'!A494,"x",""),IF(AND(Agendamento!$C$3='Base de Dados'!A494,'Base de Dados'!E494=Agendamento!$C$7),"x",""))))</f>
        <v/>
      </c>
      <c r="I494" s="13" t="str">
        <f>IF(H494="x",COUNT($I$1:I493)+1,"")</f>
        <v/>
      </c>
    </row>
    <row r="495" spans="1:9" x14ac:dyDescent="0.25">
      <c r="A495" s="27"/>
      <c r="B495" s="28"/>
      <c r="C495" s="29"/>
      <c r="D495" s="29"/>
      <c r="E495" s="28"/>
      <c r="F495" s="13" t="str">
        <f>IF(A495="","",IF(A495=Agendamento!$C$3,"x",""))</f>
        <v/>
      </c>
      <c r="G495" s="13" t="str">
        <f>IF(A495="","",IF(E495=Agendamento!$C$7,"x",""))</f>
        <v/>
      </c>
      <c r="H495" s="13" t="str">
        <f>IF(A495="","",IF(AND(Agendamento!$C$3="",Agendamento!$C$7&lt;&gt;""),IF(Agendamento!$C$7='Base de Dados'!E495,"x",""),IF(AND(Agendamento!$C$3&lt;&gt;"",Agendamento!$C$7=""),IF(Agendamento!$C$3='Base de Dados'!A495,"x",""),IF(AND(Agendamento!$C$3='Base de Dados'!A495,'Base de Dados'!E495=Agendamento!$C$7),"x",""))))</f>
        <v/>
      </c>
      <c r="I495" s="13" t="str">
        <f>IF(H495="x",COUNT($I$1:I494)+1,"")</f>
        <v/>
      </c>
    </row>
    <row r="496" spans="1:9" x14ac:dyDescent="0.25">
      <c r="A496" s="27"/>
      <c r="B496" s="28"/>
      <c r="C496" s="29"/>
      <c r="D496" s="29"/>
      <c r="E496" s="28"/>
      <c r="F496" s="13" t="str">
        <f>IF(A496="","",IF(A496=Agendamento!$C$3,"x",""))</f>
        <v/>
      </c>
      <c r="G496" s="13" t="str">
        <f>IF(A496="","",IF(E496=Agendamento!$C$7,"x",""))</f>
        <v/>
      </c>
      <c r="H496" s="13" t="str">
        <f>IF(A496="","",IF(AND(Agendamento!$C$3="",Agendamento!$C$7&lt;&gt;""),IF(Agendamento!$C$7='Base de Dados'!E496,"x",""),IF(AND(Agendamento!$C$3&lt;&gt;"",Agendamento!$C$7=""),IF(Agendamento!$C$3='Base de Dados'!A496,"x",""),IF(AND(Agendamento!$C$3='Base de Dados'!A496,'Base de Dados'!E496=Agendamento!$C$7),"x",""))))</f>
        <v/>
      </c>
      <c r="I496" s="13" t="str">
        <f>IF(H496="x",COUNT($I$1:I495)+1,"")</f>
        <v/>
      </c>
    </row>
    <row r="497" spans="1:9" x14ac:dyDescent="0.25">
      <c r="A497" s="27"/>
      <c r="B497" s="28"/>
      <c r="C497" s="29"/>
      <c r="D497" s="29"/>
      <c r="E497" s="28"/>
      <c r="F497" s="13" t="str">
        <f>IF(A497="","",IF(A497=Agendamento!$C$3,"x",""))</f>
        <v/>
      </c>
      <c r="G497" s="13" t="str">
        <f>IF(A497="","",IF(E497=Agendamento!$C$7,"x",""))</f>
        <v/>
      </c>
      <c r="H497" s="13" t="str">
        <f>IF(A497="","",IF(AND(Agendamento!$C$3="",Agendamento!$C$7&lt;&gt;""),IF(Agendamento!$C$7='Base de Dados'!E497,"x",""),IF(AND(Agendamento!$C$3&lt;&gt;"",Agendamento!$C$7=""),IF(Agendamento!$C$3='Base de Dados'!A497,"x",""),IF(AND(Agendamento!$C$3='Base de Dados'!A497,'Base de Dados'!E497=Agendamento!$C$7),"x",""))))</f>
        <v/>
      </c>
      <c r="I497" s="13" t="str">
        <f>IF(H497="x",COUNT($I$1:I496)+1,"")</f>
        <v/>
      </c>
    </row>
    <row r="498" spans="1:9" x14ac:dyDescent="0.25">
      <c r="A498" s="27"/>
      <c r="B498" s="28"/>
      <c r="C498" s="29"/>
      <c r="D498" s="29"/>
      <c r="E498" s="28"/>
      <c r="F498" s="13" t="str">
        <f>IF(A498="","",IF(A498=Agendamento!$C$3,"x",""))</f>
        <v/>
      </c>
      <c r="G498" s="13" t="str">
        <f>IF(A498="","",IF(E498=Agendamento!$C$7,"x",""))</f>
        <v/>
      </c>
      <c r="H498" s="13" t="str">
        <f>IF(A498="","",IF(AND(Agendamento!$C$3="",Agendamento!$C$7&lt;&gt;""),IF(Agendamento!$C$7='Base de Dados'!E498,"x",""),IF(AND(Agendamento!$C$3&lt;&gt;"",Agendamento!$C$7=""),IF(Agendamento!$C$3='Base de Dados'!A498,"x",""),IF(AND(Agendamento!$C$3='Base de Dados'!A498,'Base de Dados'!E498=Agendamento!$C$7),"x",""))))</f>
        <v/>
      </c>
      <c r="I498" s="13" t="str">
        <f>IF(H498="x",COUNT($I$1:I497)+1,"")</f>
        <v/>
      </c>
    </row>
    <row r="499" spans="1:9" x14ac:dyDescent="0.25">
      <c r="A499" s="27"/>
      <c r="B499" s="28"/>
      <c r="C499" s="29"/>
      <c r="D499" s="29"/>
      <c r="E499" s="28"/>
      <c r="F499" s="13" t="str">
        <f>IF(A499="","",IF(A499=Agendamento!$C$3,"x",""))</f>
        <v/>
      </c>
      <c r="G499" s="13" t="str">
        <f>IF(A499="","",IF(E499=Agendamento!$C$7,"x",""))</f>
        <v/>
      </c>
      <c r="H499" s="13" t="str">
        <f>IF(A499="","",IF(AND(Agendamento!$C$3="",Agendamento!$C$7&lt;&gt;""),IF(Agendamento!$C$7='Base de Dados'!E499,"x",""),IF(AND(Agendamento!$C$3&lt;&gt;"",Agendamento!$C$7=""),IF(Agendamento!$C$3='Base de Dados'!A499,"x",""),IF(AND(Agendamento!$C$3='Base de Dados'!A499,'Base de Dados'!E499=Agendamento!$C$7),"x",""))))</f>
        <v/>
      </c>
      <c r="I499" s="13" t="str">
        <f>IF(H499="x",COUNT($I$1:I498)+1,"")</f>
        <v/>
      </c>
    </row>
    <row r="500" spans="1:9" x14ac:dyDescent="0.25">
      <c r="A500" s="27"/>
      <c r="B500" s="28"/>
      <c r="C500" s="29"/>
      <c r="D500" s="29"/>
      <c r="E500" s="28"/>
      <c r="F500" s="13" t="str">
        <f>IF(A500="","",IF(A500=Agendamento!$C$3,"x",""))</f>
        <v/>
      </c>
      <c r="G500" s="13" t="str">
        <f>IF(A500="","",IF(E500=Agendamento!$C$7,"x",""))</f>
        <v/>
      </c>
      <c r="H500" s="13" t="str">
        <f>IF(A500="","",IF(AND(Agendamento!$C$3="",Agendamento!$C$7&lt;&gt;""),IF(Agendamento!$C$7='Base de Dados'!E500,"x",""),IF(AND(Agendamento!$C$3&lt;&gt;"",Agendamento!$C$7=""),IF(Agendamento!$C$3='Base de Dados'!A500,"x",""),IF(AND(Agendamento!$C$3='Base de Dados'!A500,'Base de Dados'!E500=Agendamento!$C$7),"x",""))))</f>
        <v/>
      </c>
      <c r="I500" s="13" t="str">
        <f>IF(H500="x",COUNT($I$1:I499)+1,"")</f>
        <v/>
      </c>
    </row>
    <row r="501" spans="1:9" x14ac:dyDescent="0.25">
      <c r="A501" s="27"/>
      <c r="B501" s="28"/>
      <c r="C501" s="29"/>
      <c r="D501" s="29"/>
      <c r="E501" s="28"/>
      <c r="F501" s="13" t="str">
        <f>IF(A501="","",IF(A501=Agendamento!$C$3,"x",""))</f>
        <v/>
      </c>
      <c r="G501" s="13" t="str">
        <f>IF(A501="","",IF(E501=Agendamento!$C$7,"x",""))</f>
        <v/>
      </c>
      <c r="H501" s="13" t="str">
        <f>IF(A501="","",IF(AND(Agendamento!$C$3="",Agendamento!$C$7&lt;&gt;""),IF(Agendamento!$C$7='Base de Dados'!E501,"x",""),IF(AND(Agendamento!$C$3&lt;&gt;"",Agendamento!$C$7=""),IF(Agendamento!$C$3='Base de Dados'!A501,"x",""),IF(AND(Agendamento!$C$3='Base de Dados'!A501,'Base de Dados'!E501=Agendamento!$C$7),"x",""))))</f>
        <v/>
      </c>
      <c r="I501" s="13" t="str">
        <f>IF(H501="x",COUNT($I$1:I500)+1,"")</f>
        <v/>
      </c>
    </row>
    <row r="502" spans="1:9" x14ac:dyDescent="0.25">
      <c r="A502" s="27"/>
      <c r="B502" s="28"/>
      <c r="C502" s="29"/>
      <c r="D502" s="29"/>
      <c r="E502" s="28"/>
      <c r="F502" s="13" t="str">
        <f>IF(A502="","",IF(A502=Agendamento!$C$3,"x",""))</f>
        <v/>
      </c>
      <c r="G502" s="13" t="str">
        <f>IF(A502="","",IF(E502=Agendamento!$C$7,"x",""))</f>
        <v/>
      </c>
      <c r="H502" s="13" t="str">
        <f>IF(A502="","",IF(AND(Agendamento!$C$3="",Agendamento!$C$7&lt;&gt;""),IF(Agendamento!$C$7='Base de Dados'!E502,"x",""),IF(AND(Agendamento!$C$3&lt;&gt;"",Agendamento!$C$7=""),IF(Agendamento!$C$3='Base de Dados'!A502,"x",""),IF(AND(Agendamento!$C$3='Base de Dados'!A502,'Base de Dados'!E502=Agendamento!$C$7),"x",""))))</f>
        <v/>
      </c>
      <c r="I502" s="13" t="str">
        <f>IF(H502="x",COUNT($I$1:I501)+1,"")</f>
        <v/>
      </c>
    </row>
    <row r="503" spans="1:9" x14ac:dyDescent="0.25">
      <c r="A503" s="27"/>
      <c r="B503" s="28"/>
      <c r="C503" s="29"/>
      <c r="D503" s="29"/>
      <c r="E503" s="28"/>
      <c r="F503" s="13" t="str">
        <f>IF(A503="","",IF(A503=Agendamento!$C$3,"x",""))</f>
        <v/>
      </c>
      <c r="G503" s="13" t="str">
        <f>IF(A503="","",IF(E503=Agendamento!$C$7,"x",""))</f>
        <v/>
      </c>
      <c r="H503" s="13" t="str">
        <f>IF(A503="","",IF(AND(Agendamento!$C$3="",Agendamento!$C$7&lt;&gt;""),IF(Agendamento!$C$7='Base de Dados'!E503,"x",""),IF(AND(Agendamento!$C$3&lt;&gt;"",Agendamento!$C$7=""),IF(Agendamento!$C$3='Base de Dados'!A503,"x",""),IF(AND(Agendamento!$C$3='Base de Dados'!A503,'Base de Dados'!E503=Agendamento!$C$7),"x",""))))</f>
        <v/>
      </c>
      <c r="I503" s="13" t="str">
        <f>IF(H503="x",COUNT($I$1:I502)+1,"")</f>
        <v/>
      </c>
    </row>
    <row r="504" spans="1:9" x14ac:dyDescent="0.25">
      <c r="A504" s="27"/>
      <c r="B504" s="28"/>
      <c r="C504" s="29"/>
      <c r="D504" s="29"/>
      <c r="E504" s="28"/>
      <c r="F504" s="13" t="str">
        <f>IF(A504="","",IF(A504=Agendamento!$C$3,"x",""))</f>
        <v/>
      </c>
      <c r="G504" s="13" t="str">
        <f>IF(A504="","",IF(E504=Agendamento!$C$7,"x",""))</f>
        <v/>
      </c>
      <c r="H504" s="13" t="str">
        <f>IF(A504="","",IF(AND(Agendamento!$C$3="",Agendamento!$C$7&lt;&gt;""),IF(Agendamento!$C$7='Base de Dados'!E504,"x",""),IF(AND(Agendamento!$C$3&lt;&gt;"",Agendamento!$C$7=""),IF(Agendamento!$C$3='Base de Dados'!A504,"x",""),IF(AND(Agendamento!$C$3='Base de Dados'!A504,'Base de Dados'!E504=Agendamento!$C$7),"x",""))))</f>
        <v/>
      </c>
      <c r="I504" s="13" t="str">
        <f>IF(H504="x",COUNT($I$1:I503)+1,"")</f>
        <v/>
      </c>
    </row>
    <row r="505" spans="1:9" x14ac:dyDescent="0.25">
      <c r="A505" s="27"/>
      <c r="B505" s="28"/>
      <c r="C505" s="29"/>
      <c r="D505" s="29"/>
      <c r="E505" s="28"/>
      <c r="F505" s="13" t="str">
        <f>IF(A505="","",IF(A505=Agendamento!$C$3,"x",""))</f>
        <v/>
      </c>
      <c r="G505" s="13" t="str">
        <f>IF(A505="","",IF(E505=Agendamento!$C$7,"x",""))</f>
        <v/>
      </c>
      <c r="H505" s="13" t="str">
        <f>IF(A505="","",IF(AND(Agendamento!$C$3="",Agendamento!$C$7&lt;&gt;""),IF(Agendamento!$C$7='Base de Dados'!E505,"x",""),IF(AND(Agendamento!$C$3&lt;&gt;"",Agendamento!$C$7=""),IF(Agendamento!$C$3='Base de Dados'!A505,"x",""),IF(AND(Agendamento!$C$3='Base de Dados'!A505,'Base de Dados'!E505=Agendamento!$C$7),"x",""))))</f>
        <v/>
      </c>
      <c r="I505" s="13" t="str">
        <f>IF(H505="x",COUNT($I$1:I504)+1,"")</f>
        <v/>
      </c>
    </row>
    <row r="506" spans="1:9" x14ac:dyDescent="0.25">
      <c r="A506" s="27"/>
      <c r="B506" s="28"/>
      <c r="C506" s="29"/>
      <c r="D506" s="29"/>
      <c r="E506" s="28"/>
      <c r="F506" s="13" t="str">
        <f>IF(A506="","",IF(A506=Agendamento!$C$3,"x",""))</f>
        <v/>
      </c>
      <c r="G506" s="13" t="str">
        <f>IF(A506="","",IF(E506=Agendamento!$C$7,"x",""))</f>
        <v/>
      </c>
      <c r="H506" s="13" t="str">
        <f>IF(A506="","",IF(AND(Agendamento!$C$3="",Agendamento!$C$7&lt;&gt;""),IF(Agendamento!$C$7='Base de Dados'!E506,"x",""),IF(AND(Agendamento!$C$3&lt;&gt;"",Agendamento!$C$7=""),IF(Agendamento!$C$3='Base de Dados'!A506,"x",""),IF(AND(Agendamento!$C$3='Base de Dados'!A506,'Base de Dados'!E506=Agendamento!$C$7),"x",""))))</f>
        <v/>
      </c>
      <c r="I506" s="13" t="str">
        <f>IF(H506="x",COUNT($I$1:I505)+1,"")</f>
        <v/>
      </c>
    </row>
    <row r="507" spans="1:9" x14ac:dyDescent="0.25">
      <c r="A507" s="27"/>
      <c r="B507" s="28"/>
      <c r="C507" s="29"/>
      <c r="D507" s="29"/>
      <c r="E507" s="28"/>
      <c r="F507" s="13" t="str">
        <f>IF(A507="","",IF(A507=Agendamento!$C$3,"x",""))</f>
        <v/>
      </c>
      <c r="G507" s="13" t="str">
        <f>IF(A507="","",IF(E507=Agendamento!$C$7,"x",""))</f>
        <v/>
      </c>
      <c r="H507" s="13" t="str">
        <f>IF(A507="","",IF(AND(Agendamento!$C$3="",Agendamento!$C$7&lt;&gt;""),IF(Agendamento!$C$7='Base de Dados'!E507,"x",""),IF(AND(Agendamento!$C$3&lt;&gt;"",Agendamento!$C$7=""),IF(Agendamento!$C$3='Base de Dados'!A507,"x",""),IF(AND(Agendamento!$C$3='Base de Dados'!A507,'Base de Dados'!E507=Agendamento!$C$7),"x",""))))</f>
        <v/>
      </c>
      <c r="I507" s="13" t="str">
        <f>IF(H507="x",COUNT($I$1:I506)+1,"")</f>
        <v/>
      </c>
    </row>
    <row r="508" spans="1:9" x14ac:dyDescent="0.25">
      <c r="A508" s="27"/>
      <c r="B508" s="28"/>
      <c r="C508" s="29"/>
      <c r="D508" s="29"/>
      <c r="E508" s="28"/>
      <c r="F508" s="13" t="str">
        <f>IF(A508="","",IF(A508=Agendamento!$C$3,"x",""))</f>
        <v/>
      </c>
      <c r="G508" s="13" t="str">
        <f>IF(A508="","",IF(E508=Agendamento!$C$7,"x",""))</f>
        <v/>
      </c>
      <c r="H508" s="13" t="str">
        <f>IF(A508="","",IF(AND(Agendamento!$C$3="",Agendamento!$C$7&lt;&gt;""),IF(Agendamento!$C$7='Base de Dados'!E508,"x",""),IF(AND(Agendamento!$C$3&lt;&gt;"",Agendamento!$C$7=""),IF(Agendamento!$C$3='Base de Dados'!A508,"x",""),IF(AND(Agendamento!$C$3='Base de Dados'!A508,'Base de Dados'!E508=Agendamento!$C$7),"x",""))))</f>
        <v/>
      </c>
      <c r="I508" s="13" t="str">
        <f>IF(H508="x",COUNT($I$1:I507)+1,"")</f>
        <v/>
      </c>
    </row>
    <row r="509" spans="1:9" x14ac:dyDescent="0.25">
      <c r="A509" s="27"/>
      <c r="B509" s="28"/>
      <c r="C509" s="29"/>
      <c r="D509" s="29"/>
      <c r="E509" s="28"/>
      <c r="F509" s="13" t="str">
        <f>IF(A509="","",IF(A509=Agendamento!$C$3,"x",""))</f>
        <v/>
      </c>
      <c r="G509" s="13" t="str">
        <f>IF(A509="","",IF(E509=Agendamento!$C$7,"x",""))</f>
        <v/>
      </c>
      <c r="H509" s="13" t="str">
        <f>IF(A509="","",IF(AND(Agendamento!$C$3="",Agendamento!$C$7&lt;&gt;""),IF(Agendamento!$C$7='Base de Dados'!E509,"x",""),IF(AND(Agendamento!$C$3&lt;&gt;"",Agendamento!$C$7=""),IF(Agendamento!$C$3='Base de Dados'!A509,"x",""),IF(AND(Agendamento!$C$3='Base de Dados'!A509,'Base de Dados'!E509=Agendamento!$C$7),"x",""))))</f>
        <v/>
      </c>
      <c r="I509" s="13" t="str">
        <f>IF(H509="x",COUNT($I$1:I508)+1,"")</f>
        <v/>
      </c>
    </row>
    <row r="510" spans="1:9" x14ac:dyDescent="0.25">
      <c r="A510" s="27"/>
      <c r="B510" s="28"/>
      <c r="C510" s="29"/>
      <c r="D510" s="29"/>
      <c r="E510" s="28"/>
      <c r="F510" s="13" t="str">
        <f>IF(A510="","",IF(A510=Agendamento!$C$3,"x",""))</f>
        <v/>
      </c>
      <c r="G510" s="13" t="str">
        <f>IF(A510="","",IF(E510=Agendamento!$C$7,"x",""))</f>
        <v/>
      </c>
      <c r="H510" s="13" t="str">
        <f>IF(A510="","",IF(AND(Agendamento!$C$3="",Agendamento!$C$7&lt;&gt;""),IF(Agendamento!$C$7='Base de Dados'!E510,"x",""),IF(AND(Agendamento!$C$3&lt;&gt;"",Agendamento!$C$7=""),IF(Agendamento!$C$3='Base de Dados'!A510,"x",""),IF(AND(Agendamento!$C$3='Base de Dados'!A510,'Base de Dados'!E510=Agendamento!$C$7),"x",""))))</f>
        <v/>
      </c>
      <c r="I510" s="13" t="str">
        <f>IF(H510="x",COUNT($I$1:I509)+1,"")</f>
        <v/>
      </c>
    </row>
    <row r="511" spans="1:9" x14ac:dyDescent="0.25">
      <c r="A511" s="27"/>
      <c r="B511" s="28"/>
      <c r="C511" s="29"/>
      <c r="D511" s="29"/>
      <c r="E511" s="28"/>
      <c r="F511" s="13" t="str">
        <f>IF(A511="","",IF(A511=Agendamento!$C$3,"x",""))</f>
        <v/>
      </c>
      <c r="G511" s="13" t="str">
        <f>IF(A511="","",IF(E511=Agendamento!$C$7,"x",""))</f>
        <v/>
      </c>
      <c r="H511" s="13" t="str">
        <f>IF(A511="","",IF(AND(Agendamento!$C$3="",Agendamento!$C$7&lt;&gt;""),IF(Agendamento!$C$7='Base de Dados'!E511,"x",""),IF(AND(Agendamento!$C$3&lt;&gt;"",Agendamento!$C$7=""),IF(Agendamento!$C$3='Base de Dados'!A511,"x",""),IF(AND(Agendamento!$C$3='Base de Dados'!A511,'Base de Dados'!E511=Agendamento!$C$7),"x",""))))</f>
        <v/>
      </c>
      <c r="I511" s="13" t="str">
        <f>IF(H511="x",COUNT($I$1:I510)+1,"")</f>
        <v/>
      </c>
    </row>
    <row r="512" spans="1:9" x14ac:dyDescent="0.25">
      <c r="A512" s="27"/>
      <c r="B512" s="28"/>
      <c r="C512" s="29"/>
      <c r="D512" s="29"/>
      <c r="E512" s="28"/>
      <c r="F512" s="13" t="str">
        <f>IF(A512="","",IF(A512=Agendamento!$C$3,"x",""))</f>
        <v/>
      </c>
      <c r="G512" s="13" t="str">
        <f>IF(A512="","",IF(E512=Agendamento!$C$7,"x",""))</f>
        <v/>
      </c>
      <c r="H512" s="13" t="str">
        <f>IF(A512="","",IF(AND(Agendamento!$C$3="",Agendamento!$C$7&lt;&gt;""),IF(Agendamento!$C$7='Base de Dados'!E512,"x",""),IF(AND(Agendamento!$C$3&lt;&gt;"",Agendamento!$C$7=""),IF(Agendamento!$C$3='Base de Dados'!A512,"x",""),IF(AND(Agendamento!$C$3='Base de Dados'!A512,'Base de Dados'!E512=Agendamento!$C$7),"x",""))))</f>
        <v/>
      </c>
      <c r="I512" s="13" t="str">
        <f>IF(H512="x",COUNT($I$1:I511)+1,"")</f>
        <v/>
      </c>
    </row>
    <row r="513" spans="1:9" x14ac:dyDescent="0.25">
      <c r="A513" s="27"/>
      <c r="B513" s="28"/>
      <c r="C513" s="29"/>
      <c r="D513" s="29"/>
      <c r="E513" s="28"/>
      <c r="F513" s="13" t="str">
        <f>IF(A513="","",IF(A513=Agendamento!$C$3,"x",""))</f>
        <v/>
      </c>
      <c r="G513" s="13" t="str">
        <f>IF(A513="","",IF(E513=Agendamento!$C$7,"x",""))</f>
        <v/>
      </c>
      <c r="H513" s="13" t="str">
        <f>IF(A513="","",IF(AND(Agendamento!$C$3="",Agendamento!$C$7&lt;&gt;""),IF(Agendamento!$C$7='Base de Dados'!E513,"x",""),IF(AND(Agendamento!$C$3&lt;&gt;"",Agendamento!$C$7=""),IF(Agendamento!$C$3='Base de Dados'!A513,"x",""),IF(AND(Agendamento!$C$3='Base de Dados'!A513,'Base de Dados'!E513=Agendamento!$C$7),"x",""))))</f>
        <v/>
      </c>
      <c r="I513" s="13" t="str">
        <f>IF(H513="x",COUNT($I$1:I512)+1,"")</f>
        <v/>
      </c>
    </row>
    <row r="514" spans="1:9" x14ac:dyDescent="0.25">
      <c r="A514" s="27"/>
      <c r="B514" s="28"/>
      <c r="C514" s="29"/>
      <c r="D514" s="29"/>
      <c r="E514" s="28"/>
      <c r="F514" s="13" t="str">
        <f>IF(A514="","",IF(A514=Agendamento!$C$3,"x",""))</f>
        <v/>
      </c>
      <c r="G514" s="13" t="str">
        <f>IF(A514="","",IF(E514=Agendamento!$C$7,"x",""))</f>
        <v/>
      </c>
      <c r="H514" s="13" t="str">
        <f>IF(A514="","",IF(AND(Agendamento!$C$3="",Agendamento!$C$7&lt;&gt;""),IF(Agendamento!$C$7='Base de Dados'!E514,"x",""),IF(AND(Agendamento!$C$3&lt;&gt;"",Agendamento!$C$7=""),IF(Agendamento!$C$3='Base de Dados'!A514,"x",""),IF(AND(Agendamento!$C$3='Base de Dados'!A514,'Base de Dados'!E514=Agendamento!$C$7),"x",""))))</f>
        <v/>
      </c>
      <c r="I514" s="13" t="str">
        <f>IF(H514="x",COUNT($I$1:I513)+1,"")</f>
        <v/>
      </c>
    </row>
    <row r="515" spans="1:9" x14ac:dyDescent="0.25">
      <c r="A515" s="27"/>
      <c r="B515" s="28"/>
      <c r="C515" s="29"/>
      <c r="D515" s="29"/>
      <c r="E515" s="28"/>
      <c r="F515" s="13" t="str">
        <f>IF(A515="","",IF(A515=Agendamento!$C$3,"x",""))</f>
        <v/>
      </c>
      <c r="G515" s="13" t="str">
        <f>IF(A515="","",IF(E515=Agendamento!$C$7,"x",""))</f>
        <v/>
      </c>
      <c r="H515" s="13" t="str">
        <f>IF(A515="","",IF(AND(Agendamento!$C$3="",Agendamento!$C$7&lt;&gt;""),IF(Agendamento!$C$7='Base de Dados'!E515,"x",""),IF(AND(Agendamento!$C$3&lt;&gt;"",Agendamento!$C$7=""),IF(Agendamento!$C$3='Base de Dados'!A515,"x",""),IF(AND(Agendamento!$C$3='Base de Dados'!A515,'Base de Dados'!E515=Agendamento!$C$7),"x",""))))</f>
        <v/>
      </c>
      <c r="I515" s="13" t="str">
        <f>IF(H515="x",COUNT($I$1:I514)+1,"")</f>
        <v/>
      </c>
    </row>
    <row r="516" spans="1:9" x14ac:dyDescent="0.25">
      <c r="A516" s="27"/>
      <c r="B516" s="28"/>
      <c r="C516" s="29"/>
      <c r="D516" s="29"/>
      <c r="E516" s="28"/>
      <c r="F516" s="13" t="str">
        <f>IF(A516="","",IF(A516=Agendamento!$C$3,"x",""))</f>
        <v/>
      </c>
      <c r="G516" s="13" t="str">
        <f>IF(A516="","",IF(E516=Agendamento!$C$7,"x",""))</f>
        <v/>
      </c>
      <c r="H516" s="13" t="str">
        <f>IF(A516="","",IF(AND(Agendamento!$C$3="",Agendamento!$C$7&lt;&gt;""),IF(Agendamento!$C$7='Base de Dados'!E516,"x",""),IF(AND(Agendamento!$C$3&lt;&gt;"",Agendamento!$C$7=""),IF(Agendamento!$C$3='Base de Dados'!A516,"x",""),IF(AND(Agendamento!$C$3='Base de Dados'!A516,'Base de Dados'!E516=Agendamento!$C$7),"x",""))))</f>
        <v/>
      </c>
      <c r="I516" s="13" t="str">
        <f>IF(H516="x",COUNT($I$1:I515)+1,"")</f>
        <v/>
      </c>
    </row>
    <row r="517" spans="1:9" x14ac:dyDescent="0.25">
      <c r="A517" s="27"/>
      <c r="B517" s="28"/>
      <c r="C517" s="29"/>
      <c r="D517" s="29"/>
      <c r="E517" s="28"/>
      <c r="F517" s="13" t="str">
        <f>IF(A517="","",IF(A517=Agendamento!$C$3,"x",""))</f>
        <v/>
      </c>
      <c r="G517" s="13" t="str">
        <f>IF(A517="","",IF(E517=Agendamento!$C$7,"x",""))</f>
        <v/>
      </c>
      <c r="H517" s="13" t="str">
        <f>IF(A517="","",IF(AND(Agendamento!$C$3="",Agendamento!$C$7&lt;&gt;""),IF(Agendamento!$C$7='Base de Dados'!E517,"x",""),IF(AND(Agendamento!$C$3&lt;&gt;"",Agendamento!$C$7=""),IF(Agendamento!$C$3='Base de Dados'!A517,"x",""),IF(AND(Agendamento!$C$3='Base de Dados'!A517,'Base de Dados'!E517=Agendamento!$C$7),"x",""))))</f>
        <v/>
      </c>
      <c r="I517" s="13" t="str">
        <f>IF(H517="x",COUNT($I$1:I516)+1,"")</f>
        <v/>
      </c>
    </row>
    <row r="518" spans="1:9" x14ac:dyDescent="0.25">
      <c r="A518" s="27"/>
      <c r="B518" s="28"/>
      <c r="C518" s="29"/>
      <c r="D518" s="29"/>
      <c r="E518" s="28"/>
      <c r="F518" s="13" t="str">
        <f>IF(A518="","",IF(A518=Agendamento!$C$3,"x",""))</f>
        <v/>
      </c>
      <c r="G518" s="13" t="str">
        <f>IF(A518="","",IF(E518=Agendamento!$C$7,"x",""))</f>
        <v/>
      </c>
      <c r="H518" s="13" t="str">
        <f>IF(A518="","",IF(AND(Agendamento!$C$3="",Agendamento!$C$7&lt;&gt;""),IF(Agendamento!$C$7='Base de Dados'!E518,"x",""),IF(AND(Agendamento!$C$3&lt;&gt;"",Agendamento!$C$7=""),IF(Agendamento!$C$3='Base de Dados'!A518,"x",""),IF(AND(Agendamento!$C$3='Base de Dados'!A518,'Base de Dados'!E518=Agendamento!$C$7),"x",""))))</f>
        <v/>
      </c>
      <c r="I518" s="13" t="str">
        <f>IF(H518="x",COUNT($I$1:I517)+1,"")</f>
        <v/>
      </c>
    </row>
    <row r="519" spans="1:9" x14ac:dyDescent="0.25">
      <c r="A519" s="27"/>
      <c r="B519" s="28"/>
      <c r="C519" s="29"/>
      <c r="D519" s="29"/>
      <c r="E519" s="28"/>
      <c r="F519" s="13" t="str">
        <f>IF(A519="","",IF(A519=Agendamento!$C$3,"x",""))</f>
        <v/>
      </c>
      <c r="G519" s="13" t="str">
        <f>IF(A519="","",IF(E519=Agendamento!$C$7,"x",""))</f>
        <v/>
      </c>
      <c r="H519" s="13" t="str">
        <f>IF(A519="","",IF(AND(Agendamento!$C$3="",Agendamento!$C$7&lt;&gt;""),IF(Agendamento!$C$7='Base de Dados'!E519,"x",""),IF(AND(Agendamento!$C$3&lt;&gt;"",Agendamento!$C$7=""),IF(Agendamento!$C$3='Base de Dados'!A519,"x",""),IF(AND(Agendamento!$C$3='Base de Dados'!A519,'Base de Dados'!E519=Agendamento!$C$7),"x",""))))</f>
        <v/>
      </c>
      <c r="I519" s="13" t="str">
        <f>IF(H519="x",COUNT($I$1:I518)+1,"")</f>
        <v/>
      </c>
    </row>
    <row r="520" spans="1:9" x14ac:dyDescent="0.25">
      <c r="A520" s="27"/>
      <c r="B520" s="28"/>
      <c r="C520" s="29"/>
      <c r="D520" s="29"/>
      <c r="E520" s="28"/>
      <c r="F520" s="13" t="str">
        <f>IF(A520="","",IF(A520=Agendamento!$C$3,"x",""))</f>
        <v/>
      </c>
      <c r="G520" s="13" t="str">
        <f>IF(A520="","",IF(E520=Agendamento!$C$7,"x",""))</f>
        <v/>
      </c>
      <c r="H520" s="13" t="str">
        <f>IF(A520="","",IF(AND(Agendamento!$C$3="",Agendamento!$C$7&lt;&gt;""),IF(Agendamento!$C$7='Base de Dados'!E520,"x",""),IF(AND(Agendamento!$C$3&lt;&gt;"",Agendamento!$C$7=""),IF(Agendamento!$C$3='Base de Dados'!A520,"x",""),IF(AND(Agendamento!$C$3='Base de Dados'!A520,'Base de Dados'!E520=Agendamento!$C$7),"x",""))))</f>
        <v/>
      </c>
      <c r="I520" s="13" t="str">
        <f>IF(H520="x",COUNT($I$1:I519)+1,"")</f>
        <v/>
      </c>
    </row>
    <row r="521" spans="1:9" x14ac:dyDescent="0.25">
      <c r="A521" s="27"/>
      <c r="B521" s="28"/>
      <c r="C521" s="29"/>
      <c r="D521" s="29"/>
      <c r="E521" s="28"/>
      <c r="F521" s="13" t="str">
        <f>IF(A521="","",IF(A521=Agendamento!$C$3,"x",""))</f>
        <v/>
      </c>
      <c r="G521" s="13" t="str">
        <f>IF(A521="","",IF(E521=Agendamento!$C$7,"x",""))</f>
        <v/>
      </c>
      <c r="H521" s="13" t="str">
        <f>IF(A521="","",IF(AND(Agendamento!$C$3="",Agendamento!$C$7&lt;&gt;""),IF(Agendamento!$C$7='Base de Dados'!E521,"x",""),IF(AND(Agendamento!$C$3&lt;&gt;"",Agendamento!$C$7=""),IF(Agendamento!$C$3='Base de Dados'!A521,"x",""),IF(AND(Agendamento!$C$3='Base de Dados'!A521,'Base de Dados'!E521=Agendamento!$C$7),"x",""))))</f>
        <v/>
      </c>
      <c r="I521" s="13" t="str">
        <f>IF(H521="x",COUNT($I$1:I520)+1,"")</f>
        <v/>
      </c>
    </row>
    <row r="522" spans="1:9" x14ac:dyDescent="0.25">
      <c r="A522" s="27"/>
      <c r="B522" s="28"/>
      <c r="C522" s="29"/>
      <c r="D522" s="29"/>
      <c r="E522" s="28"/>
      <c r="F522" s="13" t="str">
        <f>IF(A522="","",IF(A522=Agendamento!$C$3,"x",""))</f>
        <v/>
      </c>
      <c r="G522" s="13" t="str">
        <f>IF(A522="","",IF(E522=Agendamento!$C$7,"x",""))</f>
        <v/>
      </c>
      <c r="H522" s="13" t="str">
        <f>IF(A522="","",IF(AND(Agendamento!$C$3="",Agendamento!$C$7&lt;&gt;""),IF(Agendamento!$C$7='Base de Dados'!E522,"x",""),IF(AND(Agendamento!$C$3&lt;&gt;"",Agendamento!$C$7=""),IF(Agendamento!$C$3='Base de Dados'!A522,"x",""),IF(AND(Agendamento!$C$3='Base de Dados'!A522,'Base de Dados'!E522=Agendamento!$C$7),"x",""))))</f>
        <v/>
      </c>
      <c r="I522" s="13" t="str">
        <f>IF(H522="x",COUNT($I$1:I521)+1,"")</f>
        <v/>
      </c>
    </row>
    <row r="523" spans="1:9" x14ac:dyDescent="0.25">
      <c r="A523" s="27"/>
      <c r="B523" s="28"/>
      <c r="C523" s="29"/>
      <c r="D523" s="29"/>
      <c r="E523" s="28"/>
      <c r="F523" s="13" t="str">
        <f>IF(A523="","",IF(A523=Agendamento!$C$3,"x",""))</f>
        <v/>
      </c>
      <c r="G523" s="13" t="str">
        <f>IF(A523="","",IF(E523=Agendamento!$C$7,"x",""))</f>
        <v/>
      </c>
      <c r="H523" s="13" t="str">
        <f>IF(A523="","",IF(AND(Agendamento!$C$3="",Agendamento!$C$7&lt;&gt;""),IF(Agendamento!$C$7='Base de Dados'!E523,"x",""),IF(AND(Agendamento!$C$3&lt;&gt;"",Agendamento!$C$7=""),IF(Agendamento!$C$3='Base de Dados'!A523,"x",""),IF(AND(Agendamento!$C$3='Base de Dados'!A523,'Base de Dados'!E523=Agendamento!$C$7),"x",""))))</f>
        <v/>
      </c>
      <c r="I523" s="13" t="str">
        <f>IF(H523="x",COUNT($I$1:I522)+1,"")</f>
        <v/>
      </c>
    </row>
    <row r="524" spans="1:9" x14ac:dyDescent="0.25">
      <c r="A524" s="27"/>
      <c r="B524" s="28"/>
      <c r="C524" s="29"/>
      <c r="D524" s="29"/>
      <c r="E524" s="28"/>
      <c r="F524" s="13" t="str">
        <f>IF(A524="","",IF(A524=Agendamento!$C$3,"x",""))</f>
        <v/>
      </c>
      <c r="G524" s="13" t="str">
        <f>IF(A524="","",IF(E524=Agendamento!$C$7,"x",""))</f>
        <v/>
      </c>
      <c r="H524" s="13" t="str">
        <f>IF(A524="","",IF(AND(Agendamento!$C$3="",Agendamento!$C$7&lt;&gt;""),IF(Agendamento!$C$7='Base de Dados'!E524,"x",""),IF(AND(Agendamento!$C$3&lt;&gt;"",Agendamento!$C$7=""),IF(Agendamento!$C$3='Base de Dados'!A524,"x",""),IF(AND(Agendamento!$C$3='Base de Dados'!A524,'Base de Dados'!E524=Agendamento!$C$7),"x",""))))</f>
        <v/>
      </c>
      <c r="I524" s="13" t="str">
        <f>IF(H524="x",COUNT($I$1:I523)+1,"")</f>
        <v/>
      </c>
    </row>
    <row r="525" spans="1:9" x14ac:dyDescent="0.25">
      <c r="A525" s="27"/>
      <c r="B525" s="28"/>
      <c r="C525" s="29"/>
      <c r="D525" s="29"/>
      <c r="E525" s="28"/>
      <c r="F525" s="13" t="str">
        <f>IF(A525="","",IF(A525=Agendamento!$C$3,"x",""))</f>
        <v/>
      </c>
      <c r="G525" s="13" t="str">
        <f>IF(A525="","",IF(E525=Agendamento!$C$7,"x",""))</f>
        <v/>
      </c>
      <c r="H525" s="13" t="str">
        <f>IF(A525="","",IF(AND(Agendamento!$C$3="",Agendamento!$C$7&lt;&gt;""),IF(Agendamento!$C$7='Base de Dados'!E525,"x",""),IF(AND(Agendamento!$C$3&lt;&gt;"",Agendamento!$C$7=""),IF(Agendamento!$C$3='Base de Dados'!A525,"x",""),IF(AND(Agendamento!$C$3='Base de Dados'!A525,'Base de Dados'!E525=Agendamento!$C$7),"x",""))))</f>
        <v/>
      </c>
      <c r="I525" s="13" t="str">
        <f>IF(H525="x",COUNT($I$1:I524)+1,"")</f>
        <v/>
      </c>
    </row>
    <row r="526" spans="1:9" x14ac:dyDescent="0.25">
      <c r="A526" s="27"/>
      <c r="B526" s="28"/>
      <c r="C526" s="29"/>
      <c r="D526" s="29"/>
      <c r="E526" s="28"/>
      <c r="F526" s="13" t="str">
        <f>IF(A526="","",IF(A526=Agendamento!$C$3,"x",""))</f>
        <v/>
      </c>
      <c r="G526" s="13" t="str">
        <f>IF(A526="","",IF(E526=Agendamento!$C$7,"x",""))</f>
        <v/>
      </c>
      <c r="H526" s="13" t="str">
        <f>IF(A526="","",IF(AND(Agendamento!$C$3="",Agendamento!$C$7&lt;&gt;""),IF(Agendamento!$C$7='Base de Dados'!E526,"x",""),IF(AND(Agendamento!$C$3&lt;&gt;"",Agendamento!$C$7=""),IF(Agendamento!$C$3='Base de Dados'!A526,"x",""),IF(AND(Agendamento!$C$3='Base de Dados'!A526,'Base de Dados'!E526=Agendamento!$C$7),"x",""))))</f>
        <v/>
      </c>
      <c r="I526" s="13" t="str">
        <f>IF(H526="x",COUNT($I$1:I525)+1,"")</f>
        <v/>
      </c>
    </row>
    <row r="527" spans="1:9" x14ac:dyDescent="0.25">
      <c r="A527" s="27"/>
      <c r="B527" s="28"/>
      <c r="C527" s="29"/>
      <c r="D527" s="29"/>
      <c r="E527" s="28"/>
      <c r="F527" s="13" t="str">
        <f>IF(A527="","",IF(A527=Agendamento!$C$3,"x",""))</f>
        <v/>
      </c>
      <c r="G527" s="13" t="str">
        <f>IF(A527="","",IF(E527=Agendamento!$C$7,"x",""))</f>
        <v/>
      </c>
      <c r="H527" s="13" t="str">
        <f>IF(A527="","",IF(AND(Agendamento!$C$3="",Agendamento!$C$7&lt;&gt;""),IF(Agendamento!$C$7='Base de Dados'!E527,"x",""),IF(AND(Agendamento!$C$3&lt;&gt;"",Agendamento!$C$7=""),IF(Agendamento!$C$3='Base de Dados'!A527,"x",""),IF(AND(Agendamento!$C$3='Base de Dados'!A527,'Base de Dados'!E527=Agendamento!$C$7),"x",""))))</f>
        <v/>
      </c>
      <c r="I527" s="13" t="str">
        <f>IF(H527="x",COUNT($I$1:I526)+1,"")</f>
        <v/>
      </c>
    </row>
    <row r="528" spans="1:9" x14ac:dyDescent="0.25">
      <c r="A528" s="27"/>
      <c r="B528" s="28"/>
      <c r="C528" s="29"/>
      <c r="D528" s="29"/>
      <c r="E528" s="28"/>
      <c r="F528" s="13" t="str">
        <f>IF(A528="","",IF(A528=Agendamento!$C$3,"x",""))</f>
        <v/>
      </c>
      <c r="G528" s="13" t="str">
        <f>IF(A528="","",IF(E528=Agendamento!$C$7,"x",""))</f>
        <v/>
      </c>
      <c r="H528" s="13" t="str">
        <f>IF(A528="","",IF(AND(Agendamento!$C$3="",Agendamento!$C$7&lt;&gt;""),IF(Agendamento!$C$7='Base de Dados'!E528,"x",""),IF(AND(Agendamento!$C$3&lt;&gt;"",Agendamento!$C$7=""),IF(Agendamento!$C$3='Base de Dados'!A528,"x",""),IF(AND(Agendamento!$C$3='Base de Dados'!A528,'Base de Dados'!E528=Agendamento!$C$7),"x",""))))</f>
        <v/>
      </c>
      <c r="I528" s="13" t="str">
        <f>IF(H528="x",COUNT($I$1:I527)+1,"")</f>
        <v/>
      </c>
    </row>
    <row r="529" spans="1:9" x14ac:dyDescent="0.25">
      <c r="A529" s="27"/>
      <c r="B529" s="28"/>
      <c r="C529" s="29"/>
      <c r="D529" s="29"/>
      <c r="E529" s="28"/>
      <c r="F529" s="13" t="str">
        <f>IF(A529="","",IF(A529=Agendamento!$C$3,"x",""))</f>
        <v/>
      </c>
      <c r="G529" s="13" t="str">
        <f>IF(A529="","",IF(E529=Agendamento!$C$7,"x",""))</f>
        <v/>
      </c>
      <c r="H529" s="13" t="str">
        <f>IF(A529="","",IF(AND(Agendamento!$C$3="",Agendamento!$C$7&lt;&gt;""),IF(Agendamento!$C$7='Base de Dados'!E529,"x",""),IF(AND(Agendamento!$C$3&lt;&gt;"",Agendamento!$C$7=""),IF(Agendamento!$C$3='Base de Dados'!A529,"x",""),IF(AND(Agendamento!$C$3='Base de Dados'!A529,'Base de Dados'!E529=Agendamento!$C$7),"x",""))))</f>
        <v/>
      </c>
      <c r="I529" s="13" t="str">
        <f>IF(H529="x",COUNT($I$1:I528)+1,"")</f>
        <v/>
      </c>
    </row>
    <row r="530" spans="1:9" x14ac:dyDescent="0.25">
      <c r="A530" s="27"/>
      <c r="B530" s="28"/>
      <c r="C530" s="29"/>
      <c r="D530" s="29"/>
      <c r="E530" s="28"/>
      <c r="F530" s="13" t="str">
        <f>IF(A530="","",IF(A530=Agendamento!$C$3,"x",""))</f>
        <v/>
      </c>
      <c r="G530" s="13" t="str">
        <f>IF(A530="","",IF(E530=Agendamento!$C$7,"x",""))</f>
        <v/>
      </c>
      <c r="H530" s="13" t="str">
        <f>IF(A530="","",IF(AND(Agendamento!$C$3="",Agendamento!$C$7&lt;&gt;""),IF(Agendamento!$C$7='Base de Dados'!E530,"x",""),IF(AND(Agendamento!$C$3&lt;&gt;"",Agendamento!$C$7=""),IF(Agendamento!$C$3='Base de Dados'!A530,"x",""),IF(AND(Agendamento!$C$3='Base de Dados'!A530,'Base de Dados'!E530=Agendamento!$C$7),"x",""))))</f>
        <v/>
      </c>
      <c r="I530" s="13" t="str">
        <f>IF(H530="x",COUNT($I$1:I529)+1,"")</f>
        <v/>
      </c>
    </row>
    <row r="531" spans="1:9" x14ac:dyDescent="0.25">
      <c r="A531" s="27"/>
      <c r="B531" s="28"/>
      <c r="C531" s="29"/>
      <c r="D531" s="29"/>
      <c r="E531" s="28"/>
      <c r="F531" s="13" t="str">
        <f>IF(A531="","",IF(A531=Agendamento!$C$3,"x",""))</f>
        <v/>
      </c>
      <c r="G531" s="13" t="str">
        <f>IF(A531="","",IF(E531=Agendamento!$C$7,"x",""))</f>
        <v/>
      </c>
      <c r="H531" s="13" t="str">
        <f>IF(A531="","",IF(AND(Agendamento!$C$3="",Agendamento!$C$7&lt;&gt;""),IF(Agendamento!$C$7='Base de Dados'!E531,"x",""),IF(AND(Agendamento!$C$3&lt;&gt;"",Agendamento!$C$7=""),IF(Agendamento!$C$3='Base de Dados'!A531,"x",""),IF(AND(Agendamento!$C$3='Base de Dados'!A531,'Base de Dados'!E531=Agendamento!$C$7),"x",""))))</f>
        <v/>
      </c>
      <c r="I531" s="13" t="str">
        <f>IF(H531="x",COUNT($I$1:I530)+1,"")</f>
        <v/>
      </c>
    </row>
    <row r="532" spans="1:9" x14ac:dyDescent="0.25">
      <c r="A532" s="27"/>
      <c r="B532" s="28"/>
      <c r="C532" s="29"/>
      <c r="D532" s="29"/>
      <c r="E532" s="28"/>
      <c r="F532" s="13" t="str">
        <f>IF(A532="","",IF(A532=Agendamento!$C$3,"x",""))</f>
        <v/>
      </c>
      <c r="G532" s="13" t="str">
        <f>IF(A532="","",IF(E532=Agendamento!$C$7,"x",""))</f>
        <v/>
      </c>
      <c r="H532" s="13" t="str">
        <f>IF(A532="","",IF(AND(Agendamento!$C$3="",Agendamento!$C$7&lt;&gt;""),IF(Agendamento!$C$7='Base de Dados'!E532,"x",""),IF(AND(Agendamento!$C$3&lt;&gt;"",Agendamento!$C$7=""),IF(Agendamento!$C$3='Base de Dados'!A532,"x",""),IF(AND(Agendamento!$C$3='Base de Dados'!A532,'Base de Dados'!E532=Agendamento!$C$7),"x",""))))</f>
        <v/>
      </c>
      <c r="I532" s="13" t="str">
        <f>IF(H532="x",COUNT($I$1:I531)+1,"")</f>
        <v/>
      </c>
    </row>
    <row r="533" spans="1:9" x14ac:dyDescent="0.25">
      <c r="A533" s="27"/>
      <c r="B533" s="28"/>
      <c r="C533" s="29"/>
      <c r="D533" s="29"/>
      <c r="E533" s="28"/>
      <c r="F533" s="13" t="str">
        <f>IF(A533="","",IF(A533=Agendamento!$C$3,"x",""))</f>
        <v/>
      </c>
      <c r="G533" s="13" t="str">
        <f>IF(A533="","",IF(E533=Agendamento!$C$7,"x",""))</f>
        <v/>
      </c>
      <c r="H533" s="13" t="str">
        <f>IF(A533="","",IF(AND(Agendamento!$C$3="",Agendamento!$C$7&lt;&gt;""),IF(Agendamento!$C$7='Base de Dados'!E533,"x",""),IF(AND(Agendamento!$C$3&lt;&gt;"",Agendamento!$C$7=""),IF(Agendamento!$C$3='Base de Dados'!A533,"x",""),IF(AND(Agendamento!$C$3='Base de Dados'!A533,'Base de Dados'!E533=Agendamento!$C$7),"x",""))))</f>
        <v/>
      </c>
      <c r="I533" s="13" t="str">
        <f>IF(H533="x",COUNT($I$1:I532)+1,"")</f>
        <v/>
      </c>
    </row>
    <row r="534" spans="1:9" x14ac:dyDescent="0.25">
      <c r="A534" s="27"/>
      <c r="B534" s="28"/>
      <c r="C534" s="29"/>
      <c r="D534" s="29"/>
      <c r="E534" s="28"/>
      <c r="F534" s="13" t="str">
        <f>IF(A534="","",IF(A534=Agendamento!$C$3,"x",""))</f>
        <v/>
      </c>
      <c r="G534" s="13" t="str">
        <f>IF(A534="","",IF(E534=Agendamento!$C$7,"x",""))</f>
        <v/>
      </c>
      <c r="H534" s="13" t="str">
        <f>IF(A534="","",IF(AND(Agendamento!$C$3="",Agendamento!$C$7&lt;&gt;""),IF(Agendamento!$C$7='Base de Dados'!E534,"x",""),IF(AND(Agendamento!$C$3&lt;&gt;"",Agendamento!$C$7=""),IF(Agendamento!$C$3='Base de Dados'!A534,"x",""),IF(AND(Agendamento!$C$3='Base de Dados'!A534,'Base de Dados'!E534=Agendamento!$C$7),"x",""))))</f>
        <v/>
      </c>
      <c r="I534" s="13" t="str">
        <f>IF(H534="x",COUNT($I$1:I533)+1,"")</f>
        <v/>
      </c>
    </row>
    <row r="535" spans="1:9" x14ac:dyDescent="0.25">
      <c r="A535" s="27"/>
      <c r="B535" s="28"/>
      <c r="C535" s="29"/>
      <c r="D535" s="29"/>
      <c r="E535" s="28"/>
      <c r="F535" s="13" t="str">
        <f>IF(A535="","",IF(A535=Agendamento!$C$3,"x",""))</f>
        <v/>
      </c>
      <c r="G535" s="13" t="str">
        <f>IF(A535="","",IF(E535=Agendamento!$C$7,"x",""))</f>
        <v/>
      </c>
      <c r="H535" s="13" t="str">
        <f>IF(A535="","",IF(AND(Agendamento!$C$3="",Agendamento!$C$7&lt;&gt;""),IF(Agendamento!$C$7='Base de Dados'!E535,"x",""),IF(AND(Agendamento!$C$3&lt;&gt;"",Agendamento!$C$7=""),IF(Agendamento!$C$3='Base de Dados'!A535,"x",""),IF(AND(Agendamento!$C$3='Base de Dados'!A535,'Base de Dados'!E535=Agendamento!$C$7),"x",""))))</f>
        <v/>
      </c>
      <c r="I535" s="13" t="str">
        <f>IF(H535="x",COUNT($I$1:I534)+1,"")</f>
        <v/>
      </c>
    </row>
    <row r="536" spans="1:9" x14ac:dyDescent="0.25">
      <c r="A536" s="27"/>
      <c r="B536" s="28"/>
      <c r="C536" s="29"/>
      <c r="D536" s="29"/>
      <c r="E536" s="28"/>
      <c r="F536" s="13" t="str">
        <f>IF(A536="","",IF(A536=Agendamento!$C$3,"x",""))</f>
        <v/>
      </c>
      <c r="G536" s="13" t="str">
        <f>IF(A536="","",IF(E536=Agendamento!$C$7,"x",""))</f>
        <v/>
      </c>
      <c r="H536" s="13" t="str">
        <f>IF(A536="","",IF(AND(Agendamento!$C$3="",Agendamento!$C$7&lt;&gt;""),IF(Agendamento!$C$7='Base de Dados'!E536,"x",""),IF(AND(Agendamento!$C$3&lt;&gt;"",Agendamento!$C$7=""),IF(Agendamento!$C$3='Base de Dados'!A536,"x",""),IF(AND(Agendamento!$C$3='Base de Dados'!A536,'Base de Dados'!E536=Agendamento!$C$7),"x",""))))</f>
        <v/>
      </c>
      <c r="I536" s="13" t="str">
        <f>IF(H536="x",COUNT($I$1:I535)+1,"")</f>
        <v/>
      </c>
    </row>
    <row r="537" spans="1:9" x14ac:dyDescent="0.25">
      <c r="A537" s="27"/>
      <c r="B537" s="28"/>
      <c r="C537" s="29"/>
      <c r="D537" s="29"/>
      <c r="E537" s="28"/>
      <c r="F537" s="13" t="str">
        <f>IF(A537="","",IF(A537=Agendamento!$C$3,"x",""))</f>
        <v/>
      </c>
      <c r="G537" s="13" t="str">
        <f>IF(A537="","",IF(E537=Agendamento!$C$7,"x",""))</f>
        <v/>
      </c>
      <c r="H537" s="13" t="str">
        <f>IF(A537="","",IF(AND(Agendamento!$C$3="",Agendamento!$C$7&lt;&gt;""),IF(Agendamento!$C$7='Base de Dados'!E537,"x",""),IF(AND(Agendamento!$C$3&lt;&gt;"",Agendamento!$C$7=""),IF(Agendamento!$C$3='Base de Dados'!A537,"x",""),IF(AND(Agendamento!$C$3='Base de Dados'!A537,'Base de Dados'!E537=Agendamento!$C$7),"x",""))))</f>
        <v/>
      </c>
      <c r="I537" s="13" t="str">
        <f>IF(H537="x",COUNT($I$1:I536)+1,"")</f>
        <v/>
      </c>
    </row>
    <row r="538" spans="1:9" x14ac:dyDescent="0.25">
      <c r="A538" s="27"/>
      <c r="B538" s="28"/>
      <c r="C538" s="29"/>
      <c r="D538" s="29"/>
      <c r="E538" s="28"/>
      <c r="F538" s="13" t="str">
        <f>IF(A538="","",IF(A538=Agendamento!$C$3,"x",""))</f>
        <v/>
      </c>
      <c r="G538" s="13" t="str">
        <f>IF(A538="","",IF(E538=Agendamento!$C$7,"x",""))</f>
        <v/>
      </c>
      <c r="H538" s="13" t="str">
        <f>IF(A538="","",IF(AND(Agendamento!$C$3="",Agendamento!$C$7&lt;&gt;""),IF(Agendamento!$C$7='Base de Dados'!E538,"x",""),IF(AND(Agendamento!$C$3&lt;&gt;"",Agendamento!$C$7=""),IF(Agendamento!$C$3='Base de Dados'!A538,"x",""),IF(AND(Agendamento!$C$3='Base de Dados'!A538,'Base de Dados'!E538=Agendamento!$C$7),"x",""))))</f>
        <v/>
      </c>
      <c r="I538" s="13" t="str">
        <f>IF(H538="x",COUNT($I$1:I537)+1,"")</f>
        <v/>
      </c>
    </row>
    <row r="539" spans="1:9" x14ac:dyDescent="0.25">
      <c r="A539" s="27"/>
      <c r="B539" s="28"/>
      <c r="C539" s="29"/>
      <c r="D539" s="29"/>
      <c r="E539" s="28"/>
      <c r="F539" s="13" t="str">
        <f>IF(A539="","",IF(A539=Agendamento!$C$3,"x",""))</f>
        <v/>
      </c>
      <c r="G539" s="13" t="str">
        <f>IF(A539="","",IF(E539=Agendamento!$C$7,"x",""))</f>
        <v/>
      </c>
      <c r="H539" s="13" t="str">
        <f>IF(A539="","",IF(AND(Agendamento!$C$3="",Agendamento!$C$7&lt;&gt;""),IF(Agendamento!$C$7='Base de Dados'!E539,"x",""),IF(AND(Agendamento!$C$3&lt;&gt;"",Agendamento!$C$7=""),IF(Agendamento!$C$3='Base de Dados'!A539,"x",""),IF(AND(Agendamento!$C$3='Base de Dados'!A539,'Base de Dados'!E539=Agendamento!$C$7),"x",""))))</f>
        <v/>
      </c>
      <c r="I539" s="13" t="str">
        <f>IF(H539="x",COUNT($I$1:I538)+1,"")</f>
        <v/>
      </c>
    </row>
    <row r="540" spans="1:9" x14ac:dyDescent="0.25">
      <c r="A540" s="27"/>
      <c r="B540" s="28"/>
      <c r="C540" s="29"/>
      <c r="D540" s="29"/>
      <c r="E540" s="28"/>
      <c r="F540" s="13" t="str">
        <f>IF(A540="","",IF(A540=Agendamento!$C$3,"x",""))</f>
        <v/>
      </c>
      <c r="G540" s="13" t="str">
        <f>IF(A540="","",IF(E540=Agendamento!$C$7,"x",""))</f>
        <v/>
      </c>
      <c r="H540" s="13" t="str">
        <f>IF(A540="","",IF(AND(Agendamento!$C$3="",Agendamento!$C$7&lt;&gt;""),IF(Agendamento!$C$7='Base de Dados'!E540,"x",""),IF(AND(Agendamento!$C$3&lt;&gt;"",Agendamento!$C$7=""),IF(Agendamento!$C$3='Base de Dados'!A540,"x",""),IF(AND(Agendamento!$C$3='Base de Dados'!A540,'Base de Dados'!E540=Agendamento!$C$7),"x",""))))</f>
        <v/>
      </c>
      <c r="I540" s="13" t="str">
        <f>IF(H540="x",COUNT($I$1:I539)+1,"")</f>
        <v/>
      </c>
    </row>
    <row r="541" spans="1:9" x14ac:dyDescent="0.25">
      <c r="A541" s="27"/>
      <c r="B541" s="28"/>
      <c r="C541" s="29"/>
      <c r="D541" s="29"/>
      <c r="E541" s="28"/>
      <c r="F541" s="13" t="str">
        <f>IF(A541="","",IF(A541=Agendamento!$C$3,"x",""))</f>
        <v/>
      </c>
      <c r="G541" s="13" t="str">
        <f>IF(A541="","",IF(E541=Agendamento!$C$7,"x",""))</f>
        <v/>
      </c>
      <c r="H541" s="13" t="str">
        <f>IF(A541="","",IF(AND(Agendamento!$C$3="",Agendamento!$C$7&lt;&gt;""),IF(Agendamento!$C$7='Base de Dados'!E541,"x",""),IF(AND(Agendamento!$C$3&lt;&gt;"",Agendamento!$C$7=""),IF(Agendamento!$C$3='Base de Dados'!A541,"x",""),IF(AND(Agendamento!$C$3='Base de Dados'!A541,'Base de Dados'!E541=Agendamento!$C$7),"x",""))))</f>
        <v/>
      </c>
      <c r="I541" s="13" t="str">
        <f>IF(H541="x",COUNT($I$1:I540)+1,"")</f>
        <v/>
      </c>
    </row>
    <row r="542" spans="1:9" x14ac:dyDescent="0.25">
      <c r="A542" s="27"/>
      <c r="B542" s="28"/>
      <c r="C542" s="29"/>
      <c r="D542" s="29"/>
      <c r="E542" s="28"/>
      <c r="F542" s="13" t="str">
        <f>IF(A542="","",IF(A542=Agendamento!$C$3,"x",""))</f>
        <v/>
      </c>
      <c r="G542" s="13" t="str">
        <f>IF(A542="","",IF(E542=Agendamento!$C$7,"x",""))</f>
        <v/>
      </c>
      <c r="H542" s="13" t="str">
        <f>IF(A542="","",IF(AND(Agendamento!$C$3="",Agendamento!$C$7&lt;&gt;""),IF(Agendamento!$C$7='Base de Dados'!E542,"x",""),IF(AND(Agendamento!$C$3&lt;&gt;"",Agendamento!$C$7=""),IF(Agendamento!$C$3='Base de Dados'!A542,"x",""),IF(AND(Agendamento!$C$3='Base de Dados'!A542,'Base de Dados'!E542=Agendamento!$C$7),"x",""))))</f>
        <v/>
      </c>
      <c r="I542" s="13" t="str">
        <f>IF(H542="x",COUNT($I$1:I541)+1,"")</f>
        <v/>
      </c>
    </row>
    <row r="543" spans="1:9" x14ac:dyDescent="0.25">
      <c r="A543" s="27"/>
      <c r="B543" s="28"/>
      <c r="C543" s="29"/>
      <c r="D543" s="29"/>
      <c r="E543" s="28"/>
      <c r="F543" s="13" t="str">
        <f>IF(A543="","",IF(A543=Agendamento!$C$3,"x",""))</f>
        <v/>
      </c>
      <c r="G543" s="13" t="str">
        <f>IF(A543="","",IF(E543=Agendamento!$C$7,"x",""))</f>
        <v/>
      </c>
      <c r="H543" s="13" t="str">
        <f>IF(A543="","",IF(AND(Agendamento!$C$3="",Agendamento!$C$7&lt;&gt;""),IF(Agendamento!$C$7='Base de Dados'!E543,"x",""),IF(AND(Agendamento!$C$3&lt;&gt;"",Agendamento!$C$7=""),IF(Agendamento!$C$3='Base de Dados'!A543,"x",""),IF(AND(Agendamento!$C$3='Base de Dados'!A543,'Base de Dados'!E543=Agendamento!$C$7),"x",""))))</f>
        <v/>
      </c>
      <c r="I543" s="13" t="str">
        <f>IF(H543="x",COUNT($I$1:I542)+1,"")</f>
        <v/>
      </c>
    </row>
    <row r="544" spans="1:9" x14ac:dyDescent="0.25">
      <c r="A544" s="27"/>
      <c r="B544" s="28"/>
      <c r="C544" s="29"/>
      <c r="D544" s="29"/>
      <c r="E544" s="28"/>
      <c r="F544" s="13" t="str">
        <f>IF(A544="","",IF(A544=Agendamento!$C$3,"x",""))</f>
        <v/>
      </c>
      <c r="G544" s="13" t="str">
        <f>IF(A544="","",IF(E544=Agendamento!$C$7,"x",""))</f>
        <v/>
      </c>
      <c r="H544" s="13" t="str">
        <f>IF(A544="","",IF(AND(Agendamento!$C$3="",Agendamento!$C$7&lt;&gt;""),IF(Agendamento!$C$7='Base de Dados'!E544,"x",""),IF(AND(Agendamento!$C$3&lt;&gt;"",Agendamento!$C$7=""),IF(Agendamento!$C$3='Base de Dados'!A544,"x",""),IF(AND(Agendamento!$C$3='Base de Dados'!A544,'Base de Dados'!E544=Agendamento!$C$7),"x",""))))</f>
        <v/>
      </c>
      <c r="I544" s="13" t="str">
        <f>IF(H544="x",COUNT($I$1:I543)+1,"")</f>
        <v/>
      </c>
    </row>
    <row r="545" spans="1:9" x14ac:dyDescent="0.25">
      <c r="A545" s="27"/>
      <c r="B545" s="28"/>
      <c r="C545" s="29"/>
      <c r="D545" s="29"/>
      <c r="E545" s="28"/>
      <c r="F545" s="13" t="str">
        <f>IF(A545="","",IF(A545=Agendamento!$C$3,"x",""))</f>
        <v/>
      </c>
      <c r="G545" s="13" t="str">
        <f>IF(A545="","",IF(E545=Agendamento!$C$7,"x",""))</f>
        <v/>
      </c>
      <c r="H545" s="13" t="str">
        <f>IF(A545="","",IF(AND(Agendamento!$C$3="",Agendamento!$C$7&lt;&gt;""),IF(Agendamento!$C$7='Base de Dados'!E545,"x",""),IF(AND(Agendamento!$C$3&lt;&gt;"",Agendamento!$C$7=""),IF(Agendamento!$C$3='Base de Dados'!A545,"x",""),IF(AND(Agendamento!$C$3='Base de Dados'!A545,'Base de Dados'!E545=Agendamento!$C$7),"x",""))))</f>
        <v/>
      </c>
      <c r="I545" s="13" t="str">
        <f>IF(H545="x",COUNT($I$1:I544)+1,"")</f>
        <v/>
      </c>
    </row>
    <row r="546" spans="1:9" x14ac:dyDescent="0.25">
      <c r="A546" s="27"/>
      <c r="B546" s="28"/>
      <c r="C546" s="29"/>
      <c r="D546" s="29"/>
      <c r="E546" s="28"/>
      <c r="F546" s="13" t="str">
        <f>IF(A546="","",IF(A546=Agendamento!$C$3,"x",""))</f>
        <v/>
      </c>
      <c r="G546" s="13" t="str">
        <f>IF(A546="","",IF(E546=Agendamento!$C$7,"x",""))</f>
        <v/>
      </c>
      <c r="H546" s="13" t="str">
        <f>IF(A546="","",IF(AND(Agendamento!$C$3="",Agendamento!$C$7&lt;&gt;""),IF(Agendamento!$C$7='Base de Dados'!E546,"x",""),IF(AND(Agendamento!$C$3&lt;&gt;"",Agendamento!$C$7=""),IF(Agendamento!$C$3='Base de Dados'!A546,"x",""),IF(AND(Agendamento!$C$3='Base de Dados'!A546,'Base de Dados'!E546=Agendamento!$C$7),"x",""))))</f>
        <v/>
      </c>
      <c r="I546" s="13" t="str">
        <f>IF(H546="x",COUNT($I$1:I545)+1,"")</f>
        <v/>
      </c>
    </row>
    <row r="547" spans="1:9" x14ac:dyDescent="0.25">
      <c r="A547" s="27"/>
      <c r="B547" s="28"/>
      <c r="C547" s="29"/>
      <c r="D547" s="29"/>
      <c r="E547" s="28"/>
      <c r="F547" s="13" t="str">
        <f>IF(A547="","",IF(A547=Agendamento!$C$3,"x",""))</f>
        <v/>
      </c>
      <c r="G547" s="13" t="str">
        <f>IF(A547="","",IF(E547=Agendamento!$C$7,"x",""))</f>
        <v/>
      </c>
      <c r="H547" s="13" t="str">
        <f>IF(A547="","",IF(AND(Agendamento!$C$3="",Agendamento!$C$7&lt;&gt;""),IF(Agendamento!$C$7='Base de Dados'!E547,"x",""),IF(AND(Agendamento!$C$3&lt;&gt;"",Agendamento!$C$7=""),IF(Agendamento!$C$3='Base de Dados'!A547,"x",""),IF(AND(Agendamento!$C$3='Base de Dados'!A547,'Base de Dados'!E547=Agendamento!$C$7),"x",""))))</f>
        <v/>
      </c>
      <c r="I547" s="13" t="str">
        <f>IF(H547="x",COUNT($I$1:I546)+1,"")</f>
        <v/>
      </c>
    </row>
    <row r="548" spans="1:9" x14ac:dyDescent="0.25">
      <c r="A548" s="27"/>
      <c r="B548" s="28"/>
      <c r="C548" s="29"/>
      <c r="D548" s="29"/>
      <c r="E548" s="28"/>
      <c r="F548" s="13" t="str">
        <f>IF(A548="","",IF(A548=Agendamento!$C$3,"x",""))</f>
        <v/>
      </c>
      <c r="G548" s="13" t="str">
        <f>IF(A548="","",IF(E548=Agendamento!$C$7,"x",""))</f>
        <v/>
      </c>
      <c r="H548" s="13" t="str">
        <f>IF(A548="","",IF(AND(Agendamento!$C$3="",Agendamento!$C$7&lt;&gt;""),IF(Agendamento!$C$7='Base de Dados'!E548,"x",""),IF(AND(Agendamento!$C$3&lt;&gt;"",Agendamento!$C$7=""),IF(Agendamento!$C$3='Base de Dados'!A548,"x",""),IF(AND(Agendamento!$C$3='Base de Dados'!A548,'Base de Dados'!E548=Agendamento!$C$7),"x",""))))</f>
        <v/>
      </c>
      <c r="I548" s="13" t="str">
        <f>IF(H548="x",COUNT($I$1:I547)+1,"")</f>
        <v/>
      </c>
    </row>
    <row r="549" spans="1:9" x14ac:dyDescent="0.25">
      <c r="A549" s="27"/>
      <c r="B549" s="28"/>
      <c r="C549" s="29"/>
      <c r="D549" s="29"/>
      <c r="E549" s="28"/>
      <c r="F549" s="13" t="str">
        <f>IF(A549="","",IF(A549=Agendamento!$C$3,"x",""))</f>
        <v/>
      </c>
      <c r="G549" s="13" t="str">
        <f>IF(A549="","",IF(E549=Agendamento!$C$7,"x",""))</f>
        <v/>
      </c>
      <c r="H549" s="13" t="str">
        <f>IF(A549="","",IF(AND(Agendamento!$C$3="",Agendamento!$C$7&lt;&gt;""),IF(Agendamento!$C$7='Base de Dados'!E549,"x",""),IF(AND(Agendamento!$C$3&lt;&gt;"",Agendamento!$C$7=""),IF(Agendamento!$C$3='Base de Dados'!A549,"x",""),IF(AND(Agendamento!$C$3='Base de Dados'!A549,'Base de Dados'!E549=Agendamento!$C$7),"x",""))))</f>
        <v/>
      </c>
      <c r="I549" s="13" t="str">
        <f>IF(H549="x",COUNT($I$1:I548)+1,"")</f>
        <v/>
      </c>
    </row>
    <row r="550" spans="1:9" x14ac:dyDescent="0.25">
      <c r="A550" s="27"/>
      <c r="B550" s="28"/>
      <c r="C550" s="29"/>
      <c r="D550" s="29"/>
      <c r="E550" s="28"/>
      <c r="F550" s="13" t="str">
        <f>IF(A550="","",IF(A550=Agendamento!$C$3,"x",""))</f>
        <v/>
      </c>
      <c r="G550" s="13" t="str">
        <f>IF(A550="","",IF(E550=Agendamento!$C$7,"x",""))</f>
        <v/>
      </c>
      <c r="H550" s="13" t="str">
        <f>IF(A550="","",IF(AND(Agendamento!$C$3="",Agendamento!$C$7&lt;&gt;""),IF(Agendamento!$C$7='Base de Dados'!E550,"x",""),IF(AND(Agendamento!$C$3&lt;&gt;"",Agendamento!$C$7=""),IF(Agendamento!$C$3='Base de Dados'!A550,"x",""),IF(AND(Agendamento!$C$3='Base de Dados'!A550,'Base de Dados'!E550=Agendamento!$C$7),"x",""))))</f>
        <v/>
      </c>
      <c r="I550" s="13" t="str">
        <f>IF(H550="x",COUNT($I$1:I549)+1,"")</f>
        <v/>
      </c>
    </row>
    <row r="551" spans="1:9" x14ac:dyDescent="0.25">
      <c r="A551" s="27"/>
      <c r="B551" s="28"/>
      <c r="C551" s="29"/>
      <c r="D551" s="29"/>
      <c r="E551" s="28"/>
      <c r="F551" s="13" t="str">
        <f>IF(A551="","",IF(A551=Agendamento!$C$3,"x",""))</f>
        <v/>
      </c>
      <c r="G551" s="13" t="str">
        <f>IF(A551="","",IF(E551=Agendamento!$C$7,"x",""))</f>
        <v/>
      </c>
      <c r="H551" s="13" t="str">
        <f>IF(A551="","",IF(AND(Agendamento!$C$3="",Agendamento!$C$7&lt;&gt;""),IF(Agendamento!$C$7='Base de Dados'!E551,"x",""),IF(AND(Agendamento!$C$3&lt;&gt;"",Agendamento!$C$7=""),IF(Agendamento!$C$3='Base de Dados'!A551,"x",""),IF(AND(Agendamento!$C$3='Base de Dados'!A551,'Base de Dados'!E551=Agendamento!$C$7),"x",""))))</f>
        <v/>
      </c>
      <c r="I551" s="13" t="str">
        <f>IF(H551="x",COUNT($I$1:I550)+1,"")</f>
        <v/>
      </c>
    </row>
    <row r="552" spans="1:9" x14ac:dyDescent="0.25">
      <c r="A552" s="27"/>
      <c r="B552" s="28"/>
      <c r="C552" s="29"/>
      <c r="D552" s="29"/>
      <c r="E552" s="28"/>
      <c r="F552" s="13" t="str">
        <f>IF(A552="","",IF(A552=Agendamento!$C$3,"x",""))</f>
        <v/>
      </c>
      <c r="G552" s="13" t="str">
        <f>IF(A552="","",IF(E552=Agendamento!$C$7,"x",""))</f>
        <v/>
      </c>
      <c r="H552" s="13" t="str">
        <f>IF(A552="","",IF(AND(Agendamento!$C$3="",Agendamento!$C$7&lt;&gt;""),IF(Agendamento!$C$7='Base de Dados'!E552,"x",""),IF(AND(Agendamento!$C$3&lt;&gt;"",Agendamento!$C$7=""),IF(Agendamento!$C$3='Base de Dados'!A552,"x",""),IF(AND(Agendamento!$C$3='Base de Dados'!A552,'Base de Dados'!E552=Agendamento!$C$7),"x",""))))</f>
        <v/>
      </c>
      <c r="I552" s="13" t="str">
        <f>IF(H552="x",COUNT($I$1:I551)+1,"")</f>
        <v/>
      </c>
    </row>
    <row r="553" spans="1:9" x14ac:dyDescent="0.25">
      <c r="A553" s="27"/>
      <c r="B553" s="28"/>
      <c r="C553" s="29"/>
      <c r="D553" s="29"/>
      <c r="E553" s="28"/>
      <c r="F553" s="13" t="str">
        <f>IF(A553="","",IF(A553=Agendamento!$C$3,"x",""))</f>
        <v/>
      </c>
      <c r="G553" s="13" t="str">
        <f>IF(A553="","",IF(E553=Agendamento!$C$7,"x",""))</f>
        <v/>
      </c>
      <c r="H553" s="13" t="str">
        <f>IF(A553="","",IF(AND(Agendamento!$C$3="",Agendamento!$C$7&lt;&gt;""),IF(Agendamento!$C$7='Base de Dados'!E553,"x",""),IF(AND(Agendamento!$C$3&lt;&gt;"",Agendamento!$C$7=""),IF(Agendamento!$C$3='Base de Dados'!A553,"x",""),IF(AND(Agendamento!$C$3='Base de Dados'!A553,'Base de Dados'!E553=Agendamento!$C$7),"x",""))))</f>
        <v/>
      </c>
      <c r="I553" s="13" t="str">
        <f>IF(H553="x",COUNT($I$1:I552)+1,"")</f>
        <v/>
      </c>
    </row>
    <row r="554" spans="1:9" x14ac:dyDescent="0.25">
      <c r="A554" s="27"/>
      <c r="B554" s="28"/>
      <c r="C554" s="29"/>
      <c r="D554" s="29"/>
      <c r="E554" s="28"/>
      <c r="F554" s="13" t="str">
        <f>IF(A554="","",IF(A554=Agendamento!$C$3,"x",""))</f>
        <v/>
      </c>
      <c r="G554" s="13" t="str">
        <f>IF(A554="","",IF(E554=Agendamento!$C$7,"x",""))</f>
        <v/>
      </c>
      <c r="H554" s="13" t="str">
        <f>IF(A554="","",IF(AND(Agendamento!$C$3="",Agendamento!$C$7&lt;&gt;""),IF(Agendamento!$C$7='Base de Dados'!E554,"x",""),IF(AND(Agendamento!$C$3&lt;&gt;"",Agendamento!$C$7=""),IF(Agendamento!$C$3='Base de Dados'!A554,"x",""),IF(AND(Agendamento!$C$3='Base de Dados'!A554,'Base de Dados'!E554=Agendamento!$C$7),"x",""))))</f>
        <v/>
      </c>
      <c r="I554" s="13" t="str">
        <f>IF(H554="x",COUNT($I$1:I553)+1,"")</f>
        <v/>
      </c>
    </row>
    <row r="555" spans="1:9" x14ac:dyDescent="0.25">
      <c r="A555" s="27"/>
      <c r="B555" s="28"/>
      <c r="C555" s="29"/>
      <c r="D555" s="29"/>
      <c r="E555" s="28"/>
      <c r="F555" s="13" t="str">
        <f>IF(A555="","",IF(A555=Agendamento!$C$3,"x",""))</f>
        <v/>
      </c>
      <c r="G555" s="13" t="str">
        <f>IF(A555="","",IF(E555=Agendamento!$C$7,"x",""))</f>
        <v/>
      </c>
      <c r="H555" s="13" t="str">
        <f>IF(A555="","",IF(AND(Agendamento!$C$3="",Agendamento!$C$7&lt;&gt;""),IF(Agendamento!$C$7='Base de Dados'!E555,"x",""),IF(AND(Agendamento!$C$3&lt;&gt;"",Agendamento!$C$7=""),IF(Agendamento!$C$3='Base de Dados'!A555,"x",""),IF(AND(Agendamento!$C$3='Base de Dados'!A555,'Base de Dados'!E555=Agendamento!$C$7),"x",""))))</f>
        <v/>
      </c>
      <c r="I555" s="13" t="str">
        <f>IF(H555="x",COUNT($I$1:I554)+1,"")</f>
        <v/>
      </c>
    </row>
    <row r="556" spans="1:9" x14ac:dyDescent="0.25">
      <c r="A556" s="27"/>
      <c r="B556" s="28"/>
      <c r="C556" s="29"/>
      <c r="D556" s="29"/>
      <c r="E556" s="28"/>
      <c r="F556" s="13" t="str">
        <f>IF(A556="","",IF(A556=Agendamento!$C$3,"x",""))</f>
        <v/>
      </c>
      <c r="G556" s="13" t="str">
        <f>IF(A556="","",IF(E556=Agendamento!$C$7,"x",""))</f>
        <v/>
      </c>
      <c r="H556" s="13" t="str">
        <f>IF(A556="","",IF(AND(Agendamento!$C$3="",Agendamento!$C$7&lt;&gt;""),IF(Agendamento!$C$7='Base de Dados'!E556,"x",""),IF(AND(Agendamento!$C$3&lt;&gt;"",Agendamento!$C$7=""),IF(Agendamento!$C$3='Base de Dados'!A556,"x",""),IF(AND(Agendamento!$C$3='Base de Dados'!A556,'Base de Dados'!E556=Agendamento!$C$7),"x",""))))</f>
        <v/>
      </c>
      <c r="I556" s="13" t="str">
        <f>IF(H556="x",COUNT($I$1:I555)+1,"")</f>
        <v/>
      </c>
    </row>
    <row r="557" spans="1:9" x14ac:dyDescent="0.25">
      <c r="A557" s="27"/>
      <c r="B557" s="28"/>
      <c r="C557" s="29"/>
      <c r="D557" s="29"/>
      <c r="E557" s="28"/>
      <c r="F557" s="13" t="str">
        <f>IF(A557="","",IF(A557=Agendamento!$C$3,"x",""))</f>
        <v/>
      </c>
      <c r="G557" s="13" t="str">
        <f>IF(A557="","",IF(E557=Agendamento!$C$7,"x",""))</f>
        <v/>
      </c>
      <c r="H557" s="13" t="str">
        <f>IF(A557="","",IF(AND(Agendamento!$C$3="",Agendamento!$C$7&lt;&gt;""),IF(Agendamento!$C$7='Base de Dados'!E557,"x",""),IF(AND(Agendamento!$C$3&lt;&gt;"",Agendamento!$C$7=""),IF(Agendamento!$C$3='Base de Dados'!A557,"x",""),IF(AND(Agendamento!$C$3='Base de Dados'!A557,'Base de Dados'!E557=Agendamento!$C$7),"x",""))))</f>
        <v/>
      </c>
      <c r="I557" s="13" t="str">
        <f>IF(H557="x",COUNT($I$1:I556)+1,"")</f>
        <v/>
      </c>
    </row>
    <row r="558" spans="1:9" x14ac:dyDescent="0.25">
      <c r="A558" s="27"/>
      <c r="B558" s="28"/>
      <c r="C558" s="29"/>
      <c r="D558" s="29"/>
      <c r="E558" s="28"/>
      <c r="F558" s="13" t="str">
        <f>IF(A558="","",IF(A558=Agendamento!$C$3,"x",""))</f>
        <v/>
      </c>
      <c r="G558" s="13" t="str">
        <f>IF(A558="","",IF(E558=Agendamento!$C$7,"x",""))</f>
        <v/>
      </c>
      <c r="H558" s="13" t="str">
        <f>IF(A558="","",IF(AND(Agendamento!$C$3="",Agendamento!$C$7&lt;&gt;""),IF(Agendamento!$C$7='Base de Dados'!E558,"x",""),IF(AND(Agendamento!$C$3&lt;&gt;"",Agendamento!$C$7=""),IF(Agendamento!$C$3='Base de Dados'!A558,"x",""),IF(AND(Agendamento!$C$3='Base de Dados'!A558,'Base de Dados'!E558=Agendamento!$C$7),"x",""))))</f>
        <v/>
      </c>
      <c r="I558" s="13" t="str">
        <f>IF(H558="x",COUNT($I$1:I557)+1,"")</f>
        <v/>
      </c>
    </row>
    <row r="559" spans="1:9" x14ac:dyDescent="0.25">
      <c r="A559" s="27"/>
      <c r="B559" s="28"/>
      <c r="C559" s="29"/>
      <c r="D559" s="29"/>
      <c r="E559" s="28"/>
      <c r="F559" s="13" t="str">
        <f>IF(A559="","",IF(A559=Agendamento!$C$3,"x",""))</f>
        <v/>
      </c>
      <c r="G559" s="13" t="str">
        <f>IF(A559="","",IF(E559=Agendamento!$C$7,"x",""))</f>
        <v/>
      </c>
      <c r="H559" s="13" t="str">
        <f>IF(A559="","",IF(AND(Agendamento!$C$3="",Agendamento!$C$7&lt;&gt;""),IF(Agendamento!$C$7='Base de Dados'!E559,"x",""),IF(AND(Agendamento!$C$3&lt;&gt;"",Agendamento!$C$7=""),IF(Agendamento!$C$3='Base de Dados'!A559,"x",""),IF(AND(Agendamento!$C$3='Base de Dados'!A559,'Base de Dados'!E559=Agendamento!$C$7),"x",""))))</f>
        <v/>
      </c>
      <c r="I559" s="13" t="str">
        <f>IF(H559="x",COUNT($I$1:I558)+1,"")</f>
        <v/>
      </c>
    </row>
    <row r="560" spans="1:9" x14ac:dyDescent="0.25">
      <c r="A560" s="27"/>
      <c r="B560" s="28"/>
      <c r="C560" s="29"/>
      <c r="D560" s="29"/>
      <c r="E560" s="28"/>
      <c r="F560" s="13" t="str">
        <f>IF(A560="","",IF(A560=Agendamento!$C$3,"x",""))</f>
        <v/>
      </c>
      <c r="G560" s="13" t="str">
        <f>IF(A560="","",IF(E560=Agendamento!$C$7,"x",""))</f>
        <v/>
      </c>
      <c r="H560" s="13" t="str">
        <f>IF(A560="","",IF(AND(Agendamento!$C$3="",Agendamento!$C$7&lt;&gt;""),IF(Agendamento!$C$7='Base de Dados'!E560,"x",""),IF(AND(Agendamento!$C$3&lt;&gt;"",Agendamento!$C$7=""),IF(Agendamento!$C$3='Base de Dados'!A560,"x",""),IF(AND(Agendamento!$C$3='Base de Dados'!A560,'Base de Dados'!E560=Agendamento!$C$7),"x",""))))</f>
        <v/>
      </c>
      <c r="I560" s="13" t="str">
        <f>IF(H560="x",COUNT($I$1:I559)+1,"")</f>
        <v/>
      </c>
    </row>
    <row r="561" spans="1:9" x14ac:dyDescent="0.25">
      <c r="A561" s="27"/>
      <c r="B561" s="28"/>
      <c r="C561" s="29"/>
      <c r="D561" s="29"/>
      <c r="E561" s="28"/>
      <c r="F561" s="13" t="str">
        <f>IF(A561="","",IF(A561=Agendamento!$C$3,"x",""))</f>
        <v/>
      </c>
      <c r="G561" s="13" t="str">
        <f>IF(A561="","",IF(E561=Agendamento!$C$7,"x",""))</f>
        <v/>
      </c>
      <c r="H561" s="13" t="str">
        <f>IF(A561="","",IF(AND(Agendamento!$C$3="",Agendamento!$C$7&lt;&gt;""),IF(Agendamento!$C$7='Base de Dados'!E561,"x",""),IF(AND(Agendamento!$C$3&lt;&gt;"",Agendamento!$C$7=""),IF(Agendamento!$C$3='Base de Dados'!A561,"x",""),IF(AND(Agendamento!$C$3='Base de Dados'!A561,'Base de Dados'!E561=Agendamento!$C$7),"x",""))))</f>
        <v/>
      </c>
      <c r="I561" s="13" t="str">
        <f>IF(H561="x",COUNT($I$1:I560)+1,"")</f>
        <v/>
      </c>
    </row>
    <row r="562" spans="1:9" x14ac:dyDescent="0.25">
      <c r="A562" s="27"/>
      <c r="B562" s="28"/>
      <c r="C562" s="29"/>
      <c r="D562" s="29"/>
      <c r="E562" s="28"/>
      <c r="F562" s="13" t="str">
        <f>IF(A562="","",IF(A562=Agendamento!$C$3,"x",""))</f>
        <v/>
      </c>
      <c r="G562" s="13" t="str">
        <f>IF(A562="","",IF(E562=Agendamento!$C$7,"x",""))</f>
        <v/>
      </c>
      <c r="H562" s="13" t="str">
        <f>IF(A562="","",IF(AND(Agendamento!$C$3="",Agendamento!$C$7&lt;&gt;""),IF(Agendamento!$C$7='Base de Dados'!E562,"x",""),IF(AND(Agendamento!$C$3&lt;&gt;"",Agendamento!$C$7=""),IF(Agendamento!$C$3='Base de Dados'!A562,"x",""),IF(AND(Agendamento!$C$3='Base de Dados'!A562,'Base de Dados'!E562=Agendamento!$C$7),"x",""))))</f>
        <v/>
      </c>
      <c r="I562" s="13" t="str">
        <f>IF(H562="x",COUNT($I$1:I561)+1,"")</f>
        <v/>
      </c>
    </row>
    <row r="563" spans="1:9" x14ac:dyDescent="0.25">
      <c r="A563" s="27"/>
      <c r="B563" s="28"/>
      <c r="C563" s="29"/>
      <c r="D563" s="29"/>
      <c r="E563" s="28"/>
      <c r="F563" s="13" t="str">
        <f>IF(A563="","",IF(A563=Agendamento!$C$3,"x",""))</f>
        <v/>
      </c>
      <c r="G563" s="13" t="str">
        <f>IF(A563="","",IF(E563=Agendamento!$C$7,"x",""))</f>
        <v/>
      </c>
      <c r="H563" s="13" t="str">
        <f>IF(A563="","",IF(AND(Agendamento!$C$3="",Agendamento!$C$7&lt;&gt;""),IF(Agendamento!$C$7='Base de Dados'!E563,"x",""),IF(AND(Agendamento!$C$3&lt;&gt;"",Agendamento!$C$7=""),IF(Agendamento!$C$3='Base de Dados'!A563,"x",""),IF(AND(Agendamento!$C$3='Base de Dados'!A563,'Base de Dados'!E563=Agendamento!$C$7),"x",""))))</f>
        <v/>
      </c>
      <c r="I563" s="13" t="str">
        <f>IF(H563="x",COUNT($I$1:I562)+1,"")</f>
        <v/>
      </c>
    </row>
    <row r="564" spans="1:9" x14ac:dyDescent="0.25">
      <c r="A564" s="27"/>
      <c r="B564" s="28"/>
      <c r="C564" s="29"/>
      <c r="D564" s="29"/>
      <c r="E564" s="28"/>
      <c r="F564" s="13" t="str">
        <f>IF(A564="","",IF(A564=Agendamento!$C$3,"x",""))</f>
        <v/>
      </c>
      <c r="G564" s="13" t="str">
        <f>IF(A564="","",IF(E564=Agendamento!$C$7,"x",""))</f>
        <v/>
      </c>
      <c r="H564" s="13" t="str">
        <f>IF(A564="","",IF(AND(Agendamento!$C$3="",Agendamento!$C$7&lt;&gt;""),IF(Agendamento!$C$7='Base de Dados'!E564,"x",""),IF(AND(Agendamento!$C$3&lt;&gt;"",Agendamento!$C$7=""),IF(Agendamento!$C$3='Base de Dados'!A564,"x",""),IF(AND(Agendamento!$C$3='Base de Dados'!A564,'Base de Dados'!E564=Agendamento!$C$7),"x",""))))</f>
        <v/>
      </c>
      <c r="I564" s="13" t="str">
        <f>IF(H564="x",COUNT($I$1:I563)+1,"")</f>
        <v/>
      </c>
    </row>
    <row r="565" spans="1:9" x14ac:dyDescent="0.25">
      <c r="A565" s="27"/>
      <c r="B565" s="28"/>
      <c r="C565" s="29"/>
      <c r="D565" s="29"/>
      <c r="E565" s="28"/>
      <c r="F565" s="13" t="str">
        <f>IF(A565="","",IF(A565=Agendamento!$C$3,"x",""))</f>
        <v/>
      </c>
      <c r="G565" s="13" t="str">
        <f>IF(A565="","",IF(E565=Agendamento!$C$7,"x",""))</f>
        <v/>
      </c>
      <c r="H565" s="13" t="str">
        <f>IF(A565="","",IF(AND(Agendamento!$C$3="",Agendamento!$C$7&lt;&gt;""),IF(Agendamento!$C$7='Base de Dados'!E565,"x",""),IF(AND(Agendamento!$C$3&lt;&gt;"",Agendamento!$C$7=""),IF(Agendamento!$C$3='Base de Dados'!A565,"x",""),IF(AND(Agendamento!$C$3='Base de Dados'!A565,'Base de Dados'!E565=Agendamento!$C$7),"x",""))))</f>
        <v/>
      </c>
      <c r="I565" s="13" t="str">
        <f>IF(H565="x",COUNT($I$1:I564)+1,"")</f>
        <v/>
      </c>
    </row>
    <row r="566" spans="1:9" x14ac:dyDescent="0.25">
      <c r="A566" s="27"/>
      <c r="B566" s="28"/>
      <c r="C566" s="29"/>
      <c r="D566" s="29"/>
      <c r="E566" s="28"/>
      <c r="F566" s="13" t="str">
        <f>IF(A566="","",IF(A566=Agendamento!$C$3,"x",""))</f>
        <v/>
      </c>
      <c r="G566" s="13" t="str">
        <f>IF(A566="","",IF(E566=Agendamento!$C$7,"x",""))</f>
        <v/>
      </c>
      <c r="H566" s="13" t="str">
        <f>IF(A566="","",IF(AND(Agendamento!$C$3="",Agendamento!$C$7&lt;&gt;""),IF(Agendamento!$C$7='Base de Dados'!E566,"x",""),IF(AND(Agendamento!$C$3&lt;&gt;"",Agendamento!$C$7=""),IF(Agendamento!$C$3='Base de Dados'!A566,"x",""),IF(AND(Agendamento!$C$3='Base de Dados'!A566,'Base de Dados'!E566=Agendamento!$C$7),"x",""))))</f>
        <v/>
      </c>
      <c r="I566" s="13" t="str">
        <f>IF(H566="x",COUNT($I$1:I565)+1,"")</f>
        <v/>
      </c>
    </row>
    <row r="567" spans="1:9" x14ac:dyDescent="0.25">
      <c r="A567" s="27"/>
      <c r="B567" s="28"/>
      <c r="C567" s="29"/>
      <c r="D567" s="29"/>
      <c r="E567" s="28"/>
      <c r="F567" s="13" t="str">
        <f>IF(A567="","",IF(A567=Agendamento!$C$3,"x",""))</f>
        <v/>
      </c>
      <c r="G567" s="13" t="str">
        <f>IF(A567="","",IF(E567=Agendamento!$C$7,"x",""))</f>
        <v/>
      </c>
      <c r="H567" s="13" t="str">
        <f>IF(A567="","",IF(AND(Agendamento!$C$3="",Agendamento!$C$7&lt;&gt;""),IF(Agendamento!$C$7='Base de Dados'!E567,"x",""),IF(AND(Agendamento!$C$3&lt;&gt;"",Agendamento!$C$7=""),IF(Agendamento!$C$3='Base de Dados'!A567,"x",""),IF(AND(Agendamento!$C$3='Base de Dados'!A567,'Base de Dados'!E567=Agendamento!$C$7),"x",""))))</f>
        <v/>
      </c>
      <c r="I567" s="13" t="str">
        <f>IF(H567="x",COUNT($I$1:I566)+1,"")</f>
        <v/>
      </c>
    </row>
    <row r="568" spans="1:9" x14ac:dyDescent="0.25">
      <c r="A568" s="27"/>
      <c r="B568" s="28"/>
      <c r="C568" s="29"/>
      <c r="D568" s="29"/>
      <c r="E568" s="28"/>
      <c r="F568" s="13" t="str">
        <f>IF(A568="","",IF(A568=Agendamento!$C$3,"x",""))</f>
        <v/>
      </c>
      <c r="G568" s="13" t="str">
        <f>IF(A568="","",IF(E568=Agendamento!$C$7,"x",""))</f>
        <v/>
      </c>
      <c r="H568" s="13" t="str">
        <f>IF(A568="","",IF(AND(Agendamento!$C$3="",Agendamento!$C$7&lt;&gt;""),IF(Agendamento!$C$7='Base de Dados'!E568,"x",""),IF(AND(Agendamento!$C$3&lt;&gt;"",Agendamento!$C$7=""),IF(Agendamento!$C$3='Base de Dados'!A568,"x",""),IF(AND(Agendamento!$C$3='Base de Dados'!A568,'Base de Dados'!E568=Agendamento!$C$7),"x",""))))</f>
        <v/>
      </c>
      <c r="I568" s="13" t="str">
        <f>IF(H568="x",COUNT($I$1:I567)+1,"")</f>
        <v/>
      </c>
    </row>
    <row r="569" spans="1:9" x14ac:dyDescent="0.25">
      <c r="A569" s="27"/>
      <c r="B569" s="28"/>
      <c r="C569" s="29"/>
      <c r="D569" s="29"/>
      <c r="E569" s="28"/>
      <c r="F569" s="13" t="str">
        <f>IF(A569="","",IF(A569=Agendamento!$C$3,"x",""))</f>
        <v/>
      </c>
      <c r="G569" s="13" t="str">
        <f>IF(A569="","",IF(E569=Agendamento!$C$7,"x",""))</f>
        <v/>
      </c>
      <c r="H569" s="13" t="str">
        <f>IF(A569="","",IF(AND(Agendamento!$C$3="",Agendamento!$C$7&lt;&gt;""),IF(Agendamento!$C$7='Base de Dados'!E569,"x",""),IF(AND(Agendamento!$C$3&lt;&gt;"",Agendamento!$C$7=""),IF(Agendamento!$C$3='Base de Dados'!A569,"x",""),IF(AND(Agendamento!$C$3='Base de Dados'!A569,'Base de Dados'!E569=Agendamento!$C$7),"x",""))))</f>
        <v/>
      </c>
      <c r="I569" s="13" t="str">
        <f>IF(H569="x",COUNT($I$1:I568)+1,"")</f>
        <v/>
      </c>
    </row>
    <row r="570" spans="1:9" x14ac:dyDescent="0.25">
      <c r="A570" s="27"/>
      <c r="B570" s="28"/>
      <c r="C570" s="29"/>
      <c r="D570" s="29"/>
      <c r="E570" s="28"/>
      <c r="F570" s="13" t="str">
        <f>IF(A570="","",IF(A570=Agendamento!$C$3,"x",""))</f>
        <v/>
      </c>
      <c r="G570" s="13" t="str">
        <f>IF(A570="","",IF(E570=Agendamento!$C$7,"x",""))</f>
        <v/>
      </c>
      <c r="H570" s="13" t="str">
        <f>IF(A570="","",IF(AND(Agendamento!$C$3="",Agendamento!$C$7&lt;&gt;""),IF(Agendamento!$C$7='Base de Dados'!E570,"x",""),IF(AND(Agendamento!$C$3&lt;&gt;"",Agendamento!$C$7=""),IF(Agendamento!$C$3='Base de Dados'!A570,"x",""),IF(AND(Agendamento!$C$3='Base de Dados'!A570,'Base de Dados'!E570=Agendamento!$C$7),"x",""))))</f>
        <v/>
      </c>
      <c r="I570" s="13" t="str">
        <f>IF(H570="x",COUNT($I$1:I569)+1,"")</f>
        <v/>
      </c>
    </row>
    <row r="571" spans="1:9" x14ac:dyDescent="0.25">
      <c r="A571" s="27"/>
      <c r="B571" s="28"/>
      <c r="C571" s="29"/>
      <c r="D571" s="29"/>
      <c r="E571" s="28"/>
      <c r="F571" s="13" t="str">
        <f>IF(A571="","",IF(A571=Agendamento!$C$3,"x",""))</f>
        <v/>
      </c>
      <c r="G571" s="13" t="str">
        <f>IF(A571="","",IF(E571=Agendamento!$C$7,"x",""))</f>
        <v/>
      </c>
      <c r="H571" s="13" t="str">
        <f>IF(A571="","",IF(AND(Agendamento!$C$3="",Agendamento!$C$7&lt;&gt;""),IF(Agendamento!$C$7='Base de Dados'!E571,"x",""),IF(AND(Agendamento!$C$3&lt;&gt;"",Agendamento!$C$7=""),IF(Agendamento!$C$3='Base de Dados'!A571,"x",""),IF(AND(Agendamento!$C$3='Base de Dados'!A571,'Base de Dados'!E571=Agendamento!$C$7),"x",""))))</f>
        <v/>
      </c>
      <c r="I571" s="13" t="str">
        <f>IF(H571="x",COUNT($I$1:I570)+1,"")</f>
        <v/>
      </c>
    </row>
    <row r="572" spans="1:9" x14ac:dyDescent="0.25">
      <c r="A572" s="27"/>
      <c r="B572" s="28"/>
      <c r="C572" s="29"/>
      <c r="D572" s="29"/>
      <c r="E572" s="28"/>
      <c r="F572" s="13" t="str">
        <f>IF(A572="","",IF(A572=Agendamento!$C$3,"x",""))</f>
        <v/>
      </c>
      <c r="G572" s="13" t="str">
        <f>IF(A572="","",IF(E572=Agendamento!$C$7,"x",""))</f>
        <v/>
      </c>
      <c r="H572" s="13" t="str">
        <f>IF(A572="","",IF(AND(Agendamento!$C$3="",Agendamento!$C$7&lt;&gt;""),IF(Agendamento!$C$7='Base de Dados'!E572,"x",""),IF(AND(Agendamento!$C$3&lt;&gt;"",Agendamento!$C$7=""),IF(Agendamento!$C$3='Base de Dados'!A572,"x",""),IF(AND(Agendamento!$C$3='Base de Dados'!A572,'Base de Dados'!E572=Agendamento!$C$7),"x",""))))</f>
        <v/>
      </c>
      <c r="I572" s="13" t="str">
        <f>IF(H572="x",COUNT($I$1:I571)+1,"")</f>
        <v/>
      </c>
    </row>
    <row r="573" spans="1:9" x14ac:dyDescent="0.25">
      <c r="A573" s="27"/>
      <c r="B573" s="28"/>
      <c r="C573" s="29"/>
      <c r="D573" s="29"/>
      <c r="E573" s="28"/>
      <c r="F573" s="13" t="str">
        <f>IF(A573="","",IF(A573=Agendamento!$C$3,"x",""))</f>
        <v/>
      </c>
      <c r="G573" s="13" t="str">
        <f>IF(A573="","",IF(E573=Agendamento!$C$7,"x",""))</f>
        <v/>
      </c>
      <c r="H573" s="13" t="str">
        <f>IF(A573="","",IF(AND(Agendamento!$C$3="",Agendamento!$C$7&lt;&gt;""),IF(Agendamento!$C$7='Base de Dados'!E573,"x",""),IF(AND(Agendamento!$C$3&lt;&gt;"",Agendamento!$C$7=""),IF(Agendamento!$C$3='Base de Dados'!A573,"x",""),IF(AND(Agendamento!$C$3='Base de Dados'!A573,'Base de Dados'!E573=Agendamento!$C$7),"x",""))))</f>
        <v/>
      </c>
      <c r="I573" s="13" t="str">
        <f>IF(H573="x",COUNT($I$1:I572)+1,"")</f>
        <v/>
      </c>
    </row>
    <row r="574" spans="1:9" x14ac:dyDescent="0.25">
      <c r="A574" s="27"/>
      <c r="B574" s="28"/>
      <c r="C574" s="29"/>
      <c r="D574" s="29"/>
      <c r="E574" s="28"/>
      <c r="F574" s="13" t="str">
        <f>IF(A574="","",IF(A574=Agendamento!$C$3,"x",""))</f>
        <v/>
      </c>
      <c r="G574" s="13" t="str">
        <f>IF(A574="","",IF(E574=Agendamento!$C$7,"x",""))</f>
        <v/>
      </c>
      <c r="H574" s="13" t="str">
        <f>IF(A574="","",IF(AND(Agendamento!$C$3="",Agendamento!$C$7&lt;&gt;""),IF(Agendamento!$C$7='Base de Dados'!E574,"x",""),IF(AND(Agendamento!$C$3&lt;&gt;"",Agendamento!$C$7=""),IF(Agendamento!$C$3='Base de Dados'!A574,"x",""),IF(AND(Agendamento!$C$3='Base de Dados'!A574,'Base de Dados'!E574=Agendamento!$C$7),"x",""))))</f>
        <v/>
      </c>
      <c r="I574" s="13" t="str">
        <f>IF(H574="x",COUNT($I$1:I573)+1,"")</f>
        <v/>
      </c>
    </row>
    <row r="575" spans="1:9" x14ac:dyDescent="0.25">
      <c r="A575" s="27"/>
      <c r="B575" s="28"/>
      <c r="C575" s="29"/>
      <c r="D575" s="29"/>
      <c r="E575" s="28"/>
      <c r="F575" s="13" t="str">
        <f>IF(A575="","",IF(A575=Agendamento!$C$3,"x",""))</f>
        <v/>
      </c>
      <c r="G575" s="13" t="str">
        <f>IF(A575="","",IF(E575=Agendamento!$C$7,"x",""))</f>
        <v/>
      </c>
      <c r="H575" s="13" t="str">
        <f>IF(A575="","",IF(AND(Agendamento!$C$3="",Agendamento!$C$7&lt;&gt;""),IF(Agendamento!$C$7='Base de Dados'!E575,"x",""),IF(AND(Agendamento!$C$3&lt;&gt;"",Agendamento!$C$7=""),IF(Agendamento!$C$3='Base de Dados'!A575,"x",""),IF(AND(Agendamento!$C$3='Base de Dados'!A575,'Base de Dados'!E575=Agendamento!$C$7),"x",""))))</f>
        <v/>
      </c>
      <c r="I575" s="13" t="str">
        <f>IF(H575="x",COUNT($I$1:I574)+1,"")</f>
        <v/>
      </c>
    </row>
    <row r="576" spans="1:9" x14ac:dyDescent="0.25">
      <c r="A576" s="27"/>
      <c r="B576" s="28"/>
      <c r="C576" s="29"/>
      <c r="D576" s="29"/>
      <c r="E576" s="28"/>
      <c r="F576" s="13" t="str">
        <f>IF(A576="","",IF(A576=Agendamento!$C$3,"x",""))</f>
        <v/>
      </c>
      <c r="G576" s="13" t="str">
        <f>IF(A576="","",IF(E576=Agendamento!$C$7,"x",""))</f>
        <v/>
      </c>
      <c r="H576" s="13" t="str">
        <f>IF(A576="","",IF(AND(Agendamento!$C$3="",Agendamento!$C$7&lt;&gt;""),IF(Agendamento!$C$7='Base de Dados'!E576,"x",""),IF(AND(Agendamento!$C$3&lt;&gt;"",Agendamento!$C$7=""),IF(Agendamento!$C$3='Base de Dados'!A576,"x",""),IF(AND(Agendamento!$C$3='Base de Dados'!A576,'Base de Dados'!E576=Agendamento!$C$7),"x",""))))</f>
        <v/>
      </c>
      <c r="I576" s="13" t="str">
        <f>IF(H576="x",COUNT($I$1:I575)+1,"")</f>
        <v/>
      </c>
    </row>
    <row r="577" spans="1:9" x14ac:dyDescent="0.25">
      <c r="A577" s="27"/>
      <c r="B577" s="28"/>
      <c r="C577" s="29"/>
      <c r="D577" s="29"/>
      <c r="E577" s="28"/>
      <c r="F577" s="13" t="str">
        <f>IF(A577="","",IF(A577=Agendamento!$C$3,"x",""))</f>
        <v/>
      </c>
      <c r="G577" s="13" t="str">
        <f>IF(A577="","",IF(E577=Agendamento!$C$7,"x",""))</f>
        <v/>
      </c>
      <c r="H577" s="13" t="str">
        <f>IF(A577="","",IF(AND(Agendamento!$C$3="",Agendamento!$C$7&lt;&gt;""),IF(Agendamento!$C$7='Base de Dados'!E577,"x",""),IF(AND(Agendamento!$C$3&lt;&gt;"",Agendamento!$C$7=""),IF(Agendamento!$C$3='Base de Dados'!A577,"x",""),IF(AND(Agendamento!$C$3='Base de Dados'!A577,'Base de Dados'!E577=Agendamento!$C$7),"x",""))))</f>
        <v/>
      </c>
      <c r="I577" s="13" t="str">
        <f>IF(H577="x",COUNT($I$1:I576)+1,"")</f>
        <v/>
      </c>
    </row>
    <row r="578" spans="1:9" x14ac:dyDescent="0.25">
      <c r="A578" s="27"/>
      <c r="B578" s="28"/>
      <c r="C578" s="29"/>
      <c r="D578" s="29"/>
      <c r="E578" s="28"/>
      <c r="F578" s="13" t="str">
        <f>IF(A578="","",IF(A578=Agendamento!$C$3,"x",""))</f>
        <v/>
      </c>
      <c r="G578" s="13" t="str">
        <f>IF(A578="","",IF(E578=Agendamento!$C$7,"x",""))</f>
        <v/>
      </c>
      <c r="H578" s="13" t="str">
        <f>IF(A578="","",IF(AND(Agendamento!$C$3="",Agendamento!$C$7&lt;&gt;""),IF(Agendamento!$C$7='Base de Dados'!E578,"x",""),IF(AND(Agendamento!$C$3&lt;&gt;"",Agendamento!$C$7=""),IF(Agendamento!$C$3='Base de Dados'!A578,"x",""),IF(AND(Agendamento!$C$3='Base de Dados'!A578,'Base de Dados'!E578=Agendamento!$C$7),"x",""))))</f>
        <v/>
      </c>
      <c r="I578" s="13" t="str">
        <f>IF(H578="x",COUNT($I$1:I577)+1,"")</f>
        <v/>
      </c>
    </row>
    <row r="579" spans="1:9" x14ac:dyDescent="0.25">
      <c r="A579" s="27"/>
      <c r="B579" s="28"/>
      <c r="C579" s="29"/>
      <c r="D579" s="29"/>
      <c r="E579" s="28"/>
      <c r="F579" s="13" t="str">
        <f>IF(A579="","",IF(A579=Agendamento!$C$3,"x",""))</f>
        <v/>
      </c>
      <c r="G579" s="13" t="str">
        <f>IF(A579="","",IF(E579=Agendamento!$C$7,"x",""))</f>
        <v/>
      </c>
      <c r="H579" s="13" t="str">
        <f>IF(A579="","",IF(AND(Agendamento!$C$3="",Agendamento!$C$7&lt;&gt;""),IF(Agendamento!$C$7='Base de Dados'!E579,"x",""),IF(AND(Agendamento!$C$3&lt;&gt;"",Agendamento!$C$7=""),IF(Agendamento!$C$3='Base de Dados'!A579,"x",""),IF(AND(Agendamento!$C$3='Base de Dados'!A579,'Base de Dados'!E579=Agendamento!$C$7),"x",""))))</f>
        <v/>
      </c>
      <c r="I579" s="13" t="str">
        <f>IF(H579="x",COUNT($I$1:I578)+1,"")</f>
        <v/>
      </c>
    </row>
    <row r="580" spans="1:9" x14ac:dyDescent="0.25">
      <c r="A580" s="27"/>
      <c r="B580" s="28"/>
      <c r="C580" s="29"/>
      <c r="D580" s="29"/>
      <c r="E580" s="28"/>
      <c r="F580" s="13" t="str">
        <f>IF(A580="","",IF(A580=Agendamento!$C$3,"x",""))</f>
        <v/>
      </c>
      <c r="G580" s="13" t="str">
        <f>IF(A580="","",IF(E580=Agendamento!$C$7,"x",""))</f>
        <v/>
      </c>
      <c r="H580" s="13" t="str">
        <f>IF(A580="","",IF(AND(Agendamento!$C$3="",Agendamento!$C$7&lt;&gt;""),IF(Agendamento!$C$7='Base de Dados'!E580,"x",""),IF(AND(Agendamento!$C$3&lt;&gt;"",Agendamento!$C$7=""),IF(Agendamento!$C$3='Base de Dados'!A580,"x",""),IF(AND(Agendamento!$C$3='Base de Dados'!A580,'Base de Dados'!E580=Agendamento!$C$7),"x",""))))</f>
        <v/>
      </c>
      <c r="I580" s="13" t="str">
        <f>IF(H580="x",COUNT($I$1:I579)+1,"")</f>
        <v/>
      </c>
    </row>
    <row r="581" spans="1:9" x14ac:dyDescent="0.25">
      <c r="A581" s="27"/>
      <c r="B581" s="28"/>
      <c r="C581" s="29"/>
      <c r="D581" s="29"/>
      <c r="E581" s="28"/>
      <c r="F581" s="13" t="str">
        <f>IF(A581="","",IF(A581=Agendamento!$C$3,"x",""))</f>
        <v/>
      </c>
      <c r="G581" s="13" t="str">
        <f>IF(A581="","",IF(E581=Agendamento!$C$7,"x",""))</f>
        <v/>
      </c>
      <c r="H581" s="13" t="str">
        <f>IF(A581="","",IF(AND(Agendamento!$C$3="",Agendamento!$C$7&lt;&gt;""),IF(Agendamento!$C$7='Base de Dados'!E581,"x",""),IF(AND(Agendamento!$C$3&lt;&gt;"",Agendamento!$C$7=""),IF(Agendamento!$C$3='Base de Dados'!A581,"x",""),IF(AND(Agendamento!$C$3='Base de Dados'!A581,'Base de Dados'!E581=Agendamento!$C$7),"x",""))))</f>
        <v/>
      </c>
      <c r="I581" s="13" t="str">
        <f>IF(H581="x",COUNT($I$1:I580)+1,"")</f>
        <v/>
      </c>
    </row>
    <row r="582" spans="1:9" x14ac:dyDescent="0.25">
      <c r="A582" s="27"/>
      <c r="B582" s="28"/>
      <c r="C582" s="29"/>
      <c r="D582" s="29"/>
      <c r="E582" s="28"/>
      <c r="F582" s="13" t="str">
        <f>IF(A582="","",IF(A582=Agendamento!$C$3,"x",""))</f>
        <v/>
      </c>
      <c r="G582" s="13" t="str">
        <f>IF(A582="","",IF(E582=Agendamento!$C$7,"x",""))</f>
        <v/>
      </c>
      <c r="H582" s="13" t="str">
        <f>IF(A582="","",IF(AND(Agendamento!$C$3="",Agendamento!$C$7&lt;&gt;""),IF(Agendamento!$C$7='Base de Dados'!E582,"x",""),IF(AND(Agendamento!$C$3&lt;&gt;"",Agendamento!$C$7=""),IF(Agendamento!$C$3='Base de Dados'!A582,"x",""),IF(AND(Agendamento!$C$3='Base de Dados'!A582,'Base de Dados'!E582=Agendamento!$C$7),"x",""))))</f>
        <v/>
      </c>
      <c r="I582" s="13" t="str">
        <f>IF(H582="x",COUNT($I$1:I581)+1,"")</f>
        <v/>
      </c>
    </row>
    <row r="583" spans="1:9" x14ac:dyDescent="0.25">
      <c r="A583" s="27"/>
      <c r="B583" s="28"/>
      <c r="C583" s="29"/>
      <c r="D583" s="29"/>
      <c r="E583" s="28"/>
      <c r="F583" s="13" t="str">
        <f>IF(A583="","",IF(A583=Agendamento!$C$3,"x",""))</f>
        <v/>
      </c>
      <c r="G583" s="13" t="str">
        <f>IF(A583="","",IF(E583=Agendamento!$C$7,"x",""))</f>
        <v/>
      </c>
      <c r="H583" s="13" t="str">
        <f>IF(A583="","",IF(AND(Agendamento!$C$3="",Agendamento!$C$7&lt;&gt;""),IF(Agendamento!$C$7='Base de Dados'!E583,"x",""),IF(AND(Agendamento!$C$3&lt;&gt;"",Agendamento!$C$7=""),IF(Agendamento!$C$3='Base de Dados'!A583,"x",""),IF(AND(Agendamento!$C$3='Base de Dados'!A583,'Base de Dados'!E583=Agendamento!$C$7),"x",""))))</f>
        <v/>
      </c>
      <c r="I583" s="13" t="str">
        <f>IF(H583="x",COUNT($I$1:I582)+1,"")</f>
        <v/>
      </c>
    </row>
    <row r="584" spans="1:9" x14ac:dyDescent="0.25">
      <c r="A584" s="27"/>
      <c r="B584" s="28"/>
      <c r="C584" s="29"/>
      <c r="D584" s="29"/>
      <c r="E584" s="28"/>
      <c r="F584" s="13" t="str">
        <f>IF(A584="","",IF(A584=Agendamento!$C$3,"x",""))</f>
        <v/>
      </c>
      <c r="G584" s="13" t="str">
        <f>IF(A584="","",IF(E584=Agendamento!$C$7,"x",""))</f>
        <v/>
      </c>
      <c r="H584" s="13" t="str">
        <f>IF(A584="","",IF(AND(Agendamento!$C$3="",Agendamento!$C$7&lt;&gt;""),IF(Agendamento!$C$7='Base de Dados'!E584,"x",""),IF(AND(Agendamento!$C$3&lt;&gt;"",Agendamento!$C$7=""),IF(Agendamento!$C$3='Base de Dados'!A584,"x",""),IF(AND(Agendamento!$C$3='Base de Dados'!A584,'Base de Dados'!E584=Agendamento!$C$7),"x",""))))</f>
        <v/>
      </c>
      <c r="I584" s="13" t="str">
        <f>IF(H584="x",COUNT($I$1:I583)+1,"")</f>
        <v/>
      </c>
    </row>
    <row r="585" spans="1:9" x14ac:dyDescent="0.25">
      <c r="A585" s="27"/>
      <c r="B585" s="28"/>
      <c r="C585" s="29"/>
      <c r="D585" s="29"/>
      <c r="E585" s="28"/>
      <c r="F585" s="13" t="str">
        <f>IF(A585="","",IF(A585=Agendamento!$C$3,"x",""))</f>
        <v/>
      </c>
      <c r="G585" s="13" t="str">
        <f>IF(A585="","",IF(E585=Agendamento!$C$7,"x",""))</f>
        <v/>
      </c>
      <c r="H585" s="13" t="str">
        <f>IF(A585="","",IF(AND(Agendamento!$C$3="",Agendamento!$C$7&lt;&gt;""),IF(Agendamento!$C$7='Base de Dados'!E585,"x",""),IF(AND(Agendamento!$C$3&lt;&gt;"",Agendamento!$C$7=""),IF(Agendamento!$C$3='Base de Dados'!A585,"x",""),IF(AND(Agendamento!$C$3='Base de Dados'!A585,'Base de Dados'!E585=Agendamento!$C$7),"x",""))))</f>
        <v/>
      </c>
      <c r="I585" s="13" t="str">
        <f>IF(H585="x",COUNT($I$1:I584)+1,"")</f>
        <v/>
      </c>
    </row>
    <row r="586" spans="1:9" x14ac:dyDescent="0.25">
      <c r="A586" s="27"/>
      <c r="B586" s="28"/>
      <c r="C586" s="29"/>
      <c r="D586" s="29"/>
      <c r="E586" s="28"/>
      <c r="F586" s="13" t="str">
        <f>IF(A586="","",IF(A586=Agendamento!$C$3,"x",""))</f>
        <v/>
      </c>
      <c r="G586" s="13" t="str">
        <f>IF(A586="","",IF(E586=Agendamento!$C$7,"x",""))</f>
        <v/>
      </c>
      <c r="H586" s="13" t="str">
        <f>IF(A586="","",IF(AND(Agendamento!$C$3="",Agendamento!$C$7&lt;&gt;""),IF(Agendamento!$C$7='Base de Dados'!E586,"x",""),IF(AND(Agendamento!$C$3&lt;&gt;"",Agendamento!$C$7=""),IF(Agendamento!$C$3='Base de Dados'!A586,"x",""),IF(AND(Agendamento!$C$3='Base de Dados'!A586,'Base de Dados'!E586=Agendamento!$C$7),"x",""))))</f>
        <v/>
      </c>
      <c r="I586" s="13" t="str">
        <f>IF(H586="x",COUNT($I$1:I585)+1,"")</f>
        <v/>
      </c>
    </row>
    <row r="587" spans="1:9" x14ac:dyDescent="0.25">
      <c r="A587" s="27"/>
      <c r="B587" s="28"/>
      <c r="C587" s="29"/>
      <c r="D587" s="29"/>
      <c r="E587" s="28"/>
      <c r="F587" s="13" t="str">
        <f>IF(A587="","",IF(A587=Agendamento!$C$3,"x",""))</f>
        <v/>
      </c>
      <c r="G587" s="13" t="str">
        <f>IF(A587="","",IF(E587=Agendamento!$C$7,"x",""))</f>
        <v/>
      </c>
      <c r="H587" s="13" t="str">
        <f>IF(A587="","",IF(AND(Agendamento!$C$3="",Agendamento!$C$7&lt;&gt;""),IF(Agendamento!$C$7='Base de Dados'!E587,"x",""),IF(AND(Agendamento!$C$3&lt;&gt;"",Agendamento!$C$7=""),IF(Agendamento!$C$3='Base de Dados'!A587,"x",""),IF(AND(Agendamento!$C$3='Base de Dados'!A587,'Base de Dados'!E587=Agendamento!$C$7),"x",""))))</f>
        <v/>
      </c>
      <c r="I587" s="13" t="str">
        <f>IF(H587="x",COUNT($I$1:I586)+1,"")</f>
        <v/>
      </c>
    </row>
    <row r="588" spans="1:9" x14ac:dyDescent="0.25">
      <c r="A588" s="27"/>
      <c r="B588" s="28"/>
      <c r="C588" s="29"/>
      <c r="D588" s="29"/>
      <c r="E588" s="28"/>
      <c r="F588" s="13" t="str">
        <f>IF(A588="","",IF(A588=Agendamento!$C$3,"x",""))</f>
        <v/>
      </c>
      <c r="G588" s="13" t="str">
        <f>IF(A588="","",IF(E588=Agendamento!$C$7,"x",""))</f>
        <v/>
      </c>
      <c r="H588" s="13" t="str">
        <f>IF(A588="","",IF(AND(Agendamento!$C$3="",Agendamento!$C$7&lt;&gt;""),IF(Agendamento!$C$7='Base de Dados'!E588,"x",""),IF(AND(Agendamento!$C$3&lt;&gt;"",Agendamento!$C$7=""),IF(Agendamento!$C$3='Base de Dados'!A588,"x",""),IF(AND(Agendamento!$C$3='Base de Dados'!A588,'Base de Dados'!E588=Agendamento!$C$7),"x",""))))</f>
        <v/>
      </c>
      <c r="I588" s="13" t="str">
        <f>IF(H588="x",COUNT($I$1:I587)+1,"")</f>
        <v/>
      </c>
    </row>
    <row r="589" spans="1:9" x14ac:dyDescent="0.25">
      <c r="A589" s="27"/>
      <c r="B589" s="28"/>
      <c r="C589" s="29"/>
      <c r="D589" s="29"/>
      <c r="E589" s="28"/>
      <c r="F589" s="13" t="str">
        <f>IF(A589="","",IF(A589=Agendamento!$C$3,"x",""))</f>
        <v/>
      </c>
      <c r="G589" s="13" t="str">
        <f>IF(A589="","",IF(E589=Agendamento!$C$7,"x",""))</f>
        <v/>
      </c>
      <c r="H589" s="13" t="str">
        <f>IF(A589="","",IF(AND(Agendamento!$C$3="",Agendamento!$C$7&lt;&gt;""),IF(Agendamento!$C$7='Base de Dados'!E589,"x",""),IF(AND(Agendamento!$C$3&lt;&gt;"",Agendamento!$C$7=""),IF(Agendamento!$C$3='Base de Dados'!A589,"x",""),IF(AND(Agendamento!$C$3='Base de Dados'!A589,'Base de Dados'!E589=Agendamento!$C$7),"x",""))))</f>
        <v/>
      </c>
      <c r="I589" s="13" t="str">
        <f>IF(H589="x",COUNT($I$1:I588)+1,"")</f>
        <v/>
      </c>
    </row>
    <row r="590" spans="1:9" x14ac:dyDescent="0.25">
      <c r="A590" s="27"/>
      <c r="B590" s="28"/>
      <c r="C590" s="29"/>
      <c r="D590" s="29"/>
      <c r="E590" s="28"/>
      <c r="F590" s="13" t="str">
        <f>IF(A590="","",IF(A590=Agendamento!$C$3,"x",""))</f>
        <v/>
      </c>
      <c r="G590" s="13" t="str">
        <f>IF(A590="","",IF(E590=Agendamento!$C$7,"x",""))</f>
        <v/>
      </c>
      <c r="H590" s="13" t="str">
        <f>IF(A590="","",IF(AND(Agendamento!$C$3="",Agendamento!$C$7&lt;&gt;""),IF(Agendamento!$C$7='Base de Dados'!E590,"x",""),IF(AND(Agendamento!$C$3&lt;&gt;"",Agendamento!$C$7=""),IF(Agendamento!$C$3='Base de Dados'!A590,"x",""),IF(AND(Agendamento!$C$3='Base de Dados'!A590,'Base de Dados'!E590=Agendamento!$C$7),"x",""))))</f>
        <v/>
      </c>
      <c r="I590" s="13" t="str">
        <f>IF(H590="x",COUNT($I$1:I589)+1,"")</f>
        <v/>
      </c>
    </row>
    <row r="591" spans="1:9" x14ac:dyDescent="0.25">
      <c r="A591" s="27"/>
      <c r="B591" s="28"/>
      <c r="C591" s="29"/>
      <c r="D591" s="29"/>
      <c r="E591" s="28"/>
      <c r="F591" s="13" t="str">
        <f>IF(A591="","",IF(A591=Agendamento!$C$3,"x",""))</f>
        <v/>
      </c>
      <c r="G591" s="13" t="str">
        <f>IF(A591="","",IF(E591=Agendamento!$C$7,"x",""))</f>
        <v/>
      </c>
      <c r="H591" s="13" t="str">
        <f>IF(A591="","",IF(AND(Agendamento!$C$3="",Agendamento!$C$7&lt;&gt;""),IF(Agendamento!$C$7='Base de Dados'!E591,"x",""),IF(AND(Agendamento!$C$3&lt;&gt;"",Agendamento!$C$7=""),IF(Agendamento!$C$3='Base de Dados'!A591,"x",""),IF(AND(Agendamento!$C$3='Base de Dados'!A591,'Base de Dados'!E591=Agendamento!$C$7),"x",""))))</f>
        <v/>
      </c>
      <c r="I591" s="13" t="str">
        <f>IF(H591="x",COUNT($I$1:I590)+1,"")</f>
        <v/>
      </c>
    </row>
    <row r="592" spans="1:9" x14ac:dyDescent="0.25">
      <c r="A592" s="27"/>
      <c r="B592" s="28"/>
      <c r="C592" s="29"/>
      <c r="D592" s="29"/>
      <c r="E592" s="28"/>
      <c r="F592" s="13" t="str">
        <f>IF(A592="","",IF(A592=Agendamento!$C$3,"x",""))</f>
        <v/>
      </c>
      <c r="G592" s="13" t="str">
        <f>IF(A592="","",IF(E592=Agendamento!$C$7,"x",""))</f>
        <v/>
      </c>
      <c r="H592" s="13" t="str">
        <f>IF(A592="","",IF(AND(Agendamento!$C$3="",Agendamento!$C$7&lt;&gt;""),IF(Agendamento!$C$7='Base de Dados'!E592,"x",""),IF(AND(Agendamento!$C$3&lt;&gt;"",Agendamento!$C$7=""),IF(Agendamento!$C$3='Base de Dados'!A592,"x",""),IF(AND(Agendamento!$C$3='Base de Dados'!A592,'Base de Dados'!E592=Agendamento!$C$7),"x",""))))</f>
        <v/>
      </c>
      <c r="I592" s="13" t="str">
        <f>IF(H592="x",COUNT($I$1:I591)+1,"")</f>
        <v/>
      </c>
    </row>
    <row r="593" spans="1:9" x14ac:dyDescent="0.25">
      <c r="A593" s="27"/>
      <c r="B593" s="28"/>
      <c r="C593" s="29"/>
      <c r="D593" s="29"/>
      <c r="E593" s="28"/>
      <c r="F593" s="13" t="str">
        <f>IF(A593="","",IF(A593=Agendamento!$C$3,"x",""))</f>
        <v/>
      </c>
      <c r="G593" s="13" t="str">
        <f>IF(A593="","",IF(E593=Agendamento!$C$7,"x",""))</f>
        <v/>
      </c>
      <c r="H593" s="13" t="str">
        <f>IF(A593="","",IF(AND(Agendamento!$C$3="",Agendamento!$C$7&lt;&gt;""),IF(Agendamento!$C$7='Base de Dados'!E593,"x",""),IF(AND(Agendamento!$C$3&lt;&gt;"",Agendamento!$C$7=""),IF(Agendamento!$C$3='Base de Dados'!A593,"x",""),IF(AND(Agendamento!$C$3='Base de Dados'!A593,'Base de Dados'!E593=Agendamento!$C$7),"x",""))))</f>
        <v/>
      </c>
      <c r="I593" s="13" t="str">
        <f>IF(H593="x",COUNT($I$1:I592)+1,"")</f>
        <v/>
      </c>
    </row>
    <row r="594" spans="1:9" x14ac:dyDescent="0.25">
      <c r="A594" s="27"/>
      <c r="B594" s="28"/>
      <c r="C594" s="29"/>
      <c r="D594" s="29"/>
      <c r="E594" s="28"/>
      <c r="F594" s="13" t="str">
        <f>IF(A594="","",IF(A594=Agendamento!$C$3,"x",""))</f>
        <v/>
      </c>
      <c r="G594" s="13" t="str">
        <f>IF(A594="","",IF(E594=Agendamento!$C$7,"x",""))</f>
        <v/>
      </c>
      <c r="H594" s="13" t="str">
        <f>IF(A594="","",IF(AND(Agendamento!$C$3="",Agendamento!$C$7&lt;&gt;""),IF(Agendamento!$C$7='Base de Dados'!E594,"x",""),IF(AND(Agendamento!$C$3&lt;&gt;"",Agendamento!$C$7=""),IF(Agendamento!$C$3='Base de Dados'!A594,"x",""),IF(AND(Agendamento!$C$3='Base de Dados'!A594,'Base de Dados'!E594=Agendamento!$C$7),"x",""))))</f>
        <v/>
      </c>
      <c r="I594" s="13" t="str">
        <f>IF(H594="x",COUNT($I$1:I593)+1,"")</f>
        <v/>
      </c>
    </row>
    <row r="595" spans="1:9" x14ac:dyDescent="0.25">
      <c r="A595" s="27"/>
      <c r="B595" s="28"/>
      <c r="C595" s="29"/>
      <c r="D595" s="29"/>
      <c r="E595" s="28"/>
      <c r="F595" s="13" t="str">
        <f>IF(A595="","",IF(A595=Agendamento!$C$3,"x",""))</f>
        <v/>
      </c>
      <c r="G595" s="13" t="str">
        <f>IF(A595="","",IF(E595=Agendamento!$C$7,"x",""))</f>
        <v/>
      </c>
      <c r="H595" s="13" t="str">
        <f>IF(A595="","",IF(AND(Agendamento!$C$3="",Agendamento!$C$7&lt;&gt;""),IF(Agendamento!$C$7='Base de Dados'!E595,"x",""),IF(AND(Agendamento!$C$3&lt;&gt;"",Agendamento!$C$7=""),IF(Agendamento!$C$3='Base de Dados'!A595,"x",""),IF(AND(Agendamento!$C$3='Base de Dados'!A595,'Base de Dados'!E595=Agendamento!$C$7),"x",""))))</f>
        <v/>
      </c>
      <c r="I595" s="13" t="str">
        <f>IF(H595="x",COUNT($I$1:I594)+1,"")</f>
        <v/>
      </c>
    </row>
    <row r="596" spans="1:9" x14ac:dyDescent="0.25">
      <c r="A596" s="27"/>
      <c r="B596" s="28"/>
      <c r="C596" s="29"/>
      <c r="D596" s="29"/>
      <c r="E596" s="28"/>
      <c r="F596" s="13" t="str">
        <f>IF(A596="","",IF(A596=Agendamento!$C$3,"x",""))</f>
        <v/>
      </c>
      <c r="G596" s="13" t="str">
        <f>IF(A596="","",IF(E596=Agendamento!$C$7,"x",""))</f>
        <v/>
      </c>
      <c r="H596" s="13" t="str">
        <f>IF(A596="","",IF(AND(Agendamento!$C$3="",Agendamento!$C$7&lt;&gt;""),IF(Agendamento!$C$7='Base de Dados'!E596,"x",""),IF(AND(Agendamento!$C$3&lt;&gt;"",Agendamento!$C$7=""),IF(Agendamento!$C$3='Base de Dados'!A596,"x",""),IF(AND(Agendamento!$C$3='Base de Dados'!A596,'Base de Dados'!E596=Agendamento!$C$7),"x",""))))</f>
        <v/>
      </c>
      <c r="I596" s="13" t="str">
        <f>IF(H596="x",COUNT($I$1:I595)+1,"")</f>
        <v/>
      </c>
    </row>
    <row r="597" spans="1:9" x14ac:dyDescent="0.25">
      <c r="A597" s="27"/>
      <c r="B597" s="28"/>
      <c r="C597" s="29"/>
      <c r="D597" s="29"/>
      <c r="E597" s="28"/>
      <c r="F597" s="13" t="str">
        <f>IF(A597="","",IF(A597=Agendamento!$C$3,"x",""))</f>
        <v/>
      </c>
      <c r="G597" s="13" t="str">
        <f>IF(A597="","",IF(E597=Agendamento!$C$7,"x",""))</f>
        <v/>
      </c>
      <c r="H597" s="13" t="str">
        <f>IF(A597="","",IF(AND(Agendamento!$C$3="",Agendamento!$C$7&lt;&gt;""),IF(Agendamento!$C$7='Base de Dados'!E597,"x",""),IF(AND(Agendamento!$C$3&lt;&gt;"",Agendamento!$C$7=""),IF(Agendamento!$C$3='Base de Dados'!A597,"x",""),IF(AND(Agendamento!$C$3='Base de Dados'!A597,'Base de Dados'!E597=Agendamento!$C$7),"x",""))))</f>
        <v/>
      </c>
      <c r="I597" s="13" t="str">
        <f>IF(H597="x",COUNT($I$1:I596)+1,"")</f>
        <v/>
      </c>
    </row>
    <row r="598" spans="1:9" x14ac:dyDescent="0.25">
      <c r="A598" s="27"/>
      <c r="B598" s="28"/>
      <c r="C598" s="29"/>
      <c r="D598" s="29"/>
      <c r="E598" s="28"/>
      <c r="F598" s="13" t="str">
        <f>IF(A598="","",IF(A598=Agendamento!$C$3,"x",""))</f>
        <v/>
      </c>
      <c r="G598" s="13" t="str">
        <f>IF(A598="","",IF(E598=Agendamento!$C$7,"x",""))</f>
        <v/>
      </c>
      <c r="H598" s="13" t="str">
        <f>IF(A598="","",IF(AND(Agendamento!$C$3="",Agendamento!$C$7&lt;&gt;""),IF(Agendamento!$C$7='Base de Dados'!E598,"x",""),IF(AND(Agendamento!$C$3&lt;&gt;"",Agendamento!$C$7=""),IF(Agendamento!$C$3='Base de Dados'!A598,"x",""),IF(AND(Agendamento!$C$3='Base de Dados'!A598,'Base de Dados'!E598=Agendamento!$C$7),"x",""))))</f>
        <v/>
      </c>
      <c r="I598" s="13" t="str">
        <f>IF(H598="x",COUNT($I$1:I597)+1,"")</f>
        <v/>
      </c>
    </row>
    <row r="599" spans="1:9" x14ac:dyDescent="0.25">
      <c r="A599" s="27"/>
      <c r="B599" s="28"/>
      <c r="C599" s="29"/>
      <c r="D599" s="29"/>
      <c r="E599" s="28"/>
      <c r="F599" s="13" t="str">
        <f>IF(A599="","",IF(A599=Agendamento!$C$3,"x",""))</f>
        <v/>
      </c>
      <c r="G599" s="13" t="str">
        <f>IF(A599="","",IF(E599=Agendamento!$C$7,"x",""))</f>
        <v/>
      </c>
      <c r="H599" s="13" t="str">
        <f>IF(A599="","",IF(AND(Agendamento!$C$3="",Agendamento!$C$7&lt;&gt;""),IF(Agendamento!$C$7='Base de Dados'!E599,"x",""),IF(AND(Agendamento!$C$3&lt;&gt;"",Agendamento!$C$7=""),IF(Agendamento!$C$3='Base de Dados'!A599,"x",""),IF(AND(Agendamento!$C$3='Base de Dados'!A599,'Base de Dados'!E599=Agendamento!$C$7),"x",""))))</f>
        <v/>
      </c>
      <c r="I599" s="13" t="str">
        <f>IF(H599="x",COUNT($I$1:I598)+1,"")</f>
        <v/>
      </c>
    </row>
    <row r="600" spans="1:9" x14ac:dyDescent="0.25">
      <c r="A600" s="27"/>
      <c r="B600" s="28"/>
      <c r="C600" s="29"/>
      <c r="D600" s="29"/>
      <c r="E600" s="28"/>
      <c r="F600" s="13" t="str">
        <f>IF(A600="","",IF(A600=Agendamento!$C$3,"x",""))</f>
        <v/>
      </c>
      <c r="G600" s="13" t="str">
        <f>IF(A600="","",IF(E600=Agendamento!$C$7,"x",""))</f>
        <v/>
      </c>
      <c r="H600" s="13" t="str">
        <f>IF(A600="","",IF(AND(Agendamento!$C$3="",Agendamento!$C$7&lt;&gt;""),IF(Agendamento!$C$7='Base de Dados'!E600,"x",""),IF(AND(Agendamento!$C$3&lt;&gt;"",Agendamento!$C$7=""),IF(Agendamento!$C$3='Base de Dados'!A600,"x",""),IF(AND(Agendamento!$C$3='Base de Dados'!A600,'Base de Dados'!E600=Agendamento!$C$7),"x",""))))</f>
        <v/>
      </c>
      <c r="I600" s="13" t="str">
        <f>IF(H600="x",COUNT($I$1:I599)+1,"")</f>
        <v/>
      </c>
    </row>
    <row r="601" spans="1:9" x14ac:dyDescent="0.25">
      <c r="A601" s="27"/>
      <c r="B601" s="28"/>
      <c r="C601" s="29"/>
      <c r="D601" s="29"/>
      <c r="E601" s="28"/>
      <c r="F601" s="13" t="str">
        <f>IF(A601="","",IF(A601=Agendamento!$C$3,"x",""))</f>
        <v/>
      </c>
      <c r="G601" s="13" t="str">
        <f>IF(A601="","",IF(E601=Agendamento!$C$7,"x",""))</f>
        <v/>
      </c>
      <c r="H601" s="13" t="str">
        <f>IF(A601="","",IF(AND(Agendamento!$C$3="",Agendamento!$C$7&lt;&gt;""),IF(Agendamento!$C$7='Base de Dados'!E601,"x",""),IF(AND(Agendamento!$C$3&lt;&gt;"",Agendamento!$C$7=""),IF(Agendamento!$C$3='Base de Dados'!A601,"x",""),IF(AND(Agendamento!$C$3='Base de Dados'!A601,'Base de Dados'!E601=Agendamento!$C$7),"x",""))))</f>
        <v/>
      </c>
      <c r="I601" s="13" t="str">
        <f>IF(H601="x",COUNT($I$1:I600)+1,"")</f>
        <v/>
      </c>
    </row>
    <row r="602" spans="1:9" x14ac:dyDescent="0.25">
      <c r="A602" s="27"/>
      <c r="B602" s="28"/>
      <c r="C602" s="29"/>
      <c r="D602" s="29"/>
      <c r="E602" s="28"/>
      <c r="F602" s="13" t="str">
        <f>IF(A602="","",IF(A602=Agendamento!$C$3,"x",""))</f>
        <v/>
      </c>
      <c r="G602" s="13" t="str">
        <f>IF(A602="","",IF(E602=Agendamento!$C$7,"x",""))</f>
        <v/>
      </c>
      <c r="H602" s="13" t="str">
        <f>IF(A602="","",IF(AND(Agendamento!$C$3="",Agendamento!$C$7&lt;&gt;""),IF(Agendamento!$C$7='Base de Dados'!E602,"x",""),IF(AND(Agendamento!$C$3&lt;&gt;"",Agendamento!$C$7=""),IF(Agendamento!$C$3='Base de Dados'!A602,"x",""),IF(AND(Agendamento!$C$3='Base de Dados'!A602,'Base de Dados'!E602=Agendamento!$C$7),"x",""))))</f>
        <v/>
      </c>
      <c r="I602" s="13" t="str">
        <f>IF(H602="x",COUNT($I$1:I601)+1,"")</f>
        <v/>
      </c>
    </row>
    <row r="603" spans="1:9" x14ac:dyDescent="0.25">
      <c r="A603" s="27"/>
      <c r="B603" s="28"/>
      <c r="C603" s="29"/>
      <c r="D603" s="29"/>
      <c r="E603" s="28"/>
      <c r="F603" s="13" t="str">
        <f>IF(A603="","",IF(A603=Agendamento!$C$3,"x",""))</f>
        <v/>
      </c>
      <c r="G603" s="13" t="str">
        <f>IF(A603="","",IF(E603=Agendamento!$C$7,"x",""))</f>
        <v/>
      </c>
      <c r="H603" s="13" t="str">
        <f>IF(A603="","",IF(AND(Agendamento!$C$3="",Agendamento!$C$7&lt;&gt;""),IF(Agendamento!$C$7='Base de Dados'!E603,"x",""),IF(AND(Agendamento!$C$3&lt;&gt;"",Agendamento!$C$7=""),IF(Agendamento!$C$3='Base de Dados'!A603,"x",""),IF(AND(Agendamento!$C$3='Base de Dados'!A603,'Base de Dados'!E603=Agendamento!$C$7),"x",""))))</f>
        <v/>
      </c>
      <c r="I603" s="13" t="str">
        <f>IF(H603="x",COUNT($I$1:I602)+1,"")</f>
        <v/>
      </c>
    </row>
    <row r="604" spans="1:9" x14ac:dyDescent="0.25">
      <c r="A604" s="27"/>
      <c r="B604" s="28"/>
      <c r="C604" s="29"/>
      <c r="D604" s="29"/>
      <c r="E604" s="28"/>
      <c r="F604" s="13" t="str">
        <f>IF(A604="","",IF(A604=Agendamento!$C$3,"x",""))</f>
        <v/>
      </c>
      <c r="G604" s="13" t="str">
        <f>IF(A604="","",IF(E604=Agendamento!$C$7,"x",""))</f>
        <v/>
      </c>
      <c r="H604" s="13" t="str">
        <f>IF(A604="","",IF(AND(Agendamento!$C$3="",Agendamento!$C$7&lt;&gt;""),IF(Agendamento!$C$7='Base de Dados'!E604,"x",""),IF(AND(Agendamento!$C$3&lt;&gt;"",Agendamento!$C$7=""),IF(Agendamento!$C$3='Base de Dados'!A604,"x",""),IF(AND(Agendamento!$C$3='Base de Dados'!A604,'Base de Dados'!E604=Agendamento!$C$7),"x",""))))</f>
        <v/>
      </c>
      <c r="I604" s="13" t="str">
        <f>IF(H604="x",COUNT($I$1:I603)+1,"")</f>
        <v/>
      </c>
    </row>
    <row r="605" spans="1:9" x14ac:dyDescent="0.25">
      <c r="A605" s="27"/>
      <c r="B605" s="28"/>
      <c r="C605" s="29"/>
      <c r="D605" s="29"/>
      <c r="E605" s="28"/>
      <c r="F605" s="13" t="str">
        <f>IF(A605="","",IF(A605=Agendamento!$C$3,"x",""))</f>
        <v/>
      </c>
      <c r="G605" s="13" t="str">
        <f>IF(A605="","",IF(E605=Agendamento!$C$7,"x",""))</f>
        <v/>
      </c>
      <c r="H605" s="13" t="str">
        <f>IF(A605="","",IF(AND(Agendamento!$C$3="",Agendamento!$C$7&lt;&gt;""),IF(Agendamento!$C$7='Base de Dados'!E605,"x",""),IF(AND(Agendamento!$C$3&lt;&gt;"",Agendamento!$C$7=""),IF(Agendamento!$C$3='Base de Dados'!A605,"x",""),IF(AND(Agendamento!$C$3='Base de Dados'!A605,'Base de Dados'!E605=Agendamento!$C$7),"x",""))))</f>
        <v/>
      </c>
      <c r="I605" s="13" t="str">
        <f>IF(H605="x",COUNT($I$1:I604)+1,"")</f>
        <v/>
      </c>
    </row>
    <row r="606" spans="1:9" x14ac:dyDescent="0.25">
      <c r="A606" s="27"/>
      <c r="B606" s="28"/>
      <c r="C606" s="29"/>
      <c r="D606" s="29"/>
      <c r="E606" s="28"/>
      <c r="F606" s="13" t="str">
        <f>IF(A606="","",IF(A606=Agendamento!$C$3,"x",""))</f>
        <v/>
      </c>
      <c r="G606" s="13" t="str">
        <f>IF(A606="","",IF(E606=Agendamento!$C$7,"x",""))</f>
        <v/>
      </c>
      <c r="H606" s="13" t="str">
        <f>IF(A606="","",IF(AND(Agendamento!$C$3="",Agendamento!$C$7&lt;&gt;""),IF(Agendamento!$C$7='Base de Dados'!E606,"x",""),IF(AND(Agendamento!$C$3&lt;&gt;"",Agendamento!$C$7=""),IF(Agendamento!$C$3='Base de Dados'!A606,"x",""),IF(AND(Agendamento!$C$3='Base de Dados'!A606,'Base de Dados'!E606=Agendamento!$C$7),"x",""))))</f>
        <v/>
      </c>
      <c r="I606" s="13" t="str">
        <f>IF(H606="x",COUNT($I$1:I605)+1,"")</f>
        <v/>
      </c>
    </row>
    <row r="607" spans="1:9" x14ac:dyDescent="0.25">
      <c r="A607" s="27"/>
      <c r="B607" s="28"/>
      <c r="C607" s="29"/>
      <c r="D607" s="29"/>
      <c r="E607" s="28"/>
      <c r="F607" s="13" t="str">
        <f>IF(A607="","",IF(A607=Agendamento!$C$3,"x",""))</f>
        <v/>
      </c>
      <c r="G607" s="13" t="str">
        <f>IF(A607="","",IF(E607=Agendamento!$C$7,"x",""))</f>
        <v/>
      </c>
      <c r="H607" s="13" t="str">
        <f>IF(A607="","",IF(AND(Agendamento!$C$3="",Agendamento!$C$7&lt;&gt;""),IF(Agendamento!$C$7='Base de Dados'!E607,"x",""),IF(AND(Agendamento!$C$3&lt;&gt;"",Agendamento!$C$7=""),IF(Agendamento!$C$3='Base de Dados'!A607,"x",""),IF(AND(Agendamento!$C$3='Base de Dados'!A607,'Base de Dados'!E607=Agendamento!$C$7),"x",""))))</f>
        <v/>
      </c>
      <c r="I607" s="13" t="str">
        <f>IF(H607="x",COUNT($I$1:I606)+1,"")</f>
        <v/>
      </c>
    </row>
    <row r="608" spans="1:9" x14ac:dyDescent="0.25">
      <c r="A608" s="27"/>
      <c r="B608" s="28"/>
      <c r="C608" s="29"/>
      <c r="D608" s="29"/>
      <c r="E608" s="28"/>
      <c r="F608" s="13" t="str">
        <f>IF(A608="","",IF(A608=Agendamento!$C$3,"x",""))</f>
        <v/>
      </c>
      <c r="G608" s="13" t="str">
        <f>IF(A608="","",IF(E608=Agendamento!$C$7,"x",""))</f>
        <v/>
      </c>
      <c r="H608" s="13" t="str">
        <f>IF(A608="","",IF(AND(Agendamento!$C$3="",Agendamento!$C$7&lt;&gt;""),IF(Agendamento!$C$7='Base de Dados'!E608,"x",""),IF(AND(Agendamento!$C$3&lt;&gt;"",Agendamento!$C$7=""),IF(Agendamento!$C$3='Base de Dados'!A608,"x",""),IF(AND(Agendamento!$C$3='Base de Dados'!A608,'Base de Dados'!E608=Agendamento!$C$7),"x",""))))</f>
        <v/>
      </c>
      <c r="I608" s="13" t="str">
        <f>IF(H608="x",COUNT($I$1:I607)+1,"")</f>
        <v/>
      </c>
    </row>
    <row r="609" spans="1:9" x14ac:dyDescent="0.25">
      <c r="A609" s="27"/>
      <c r="B609" s="28"/>
      <c r="C609" s="29"/>
      <c r="D609" s="29"/>
      <c r="E609" s="28"/>
      <c r="F609" s="13" t="str">
        <f>IF(A609="","",IF(A609=Agendamento!$C$3,"x",""))</f>
        <v/>
      </c>
      <c r="G609" s="13" t="str">
        <f>IF(A609="","",IF(E609=Agendamento!$C$7,"x",""))</f>
        <v/>
      </c>
      <c r="H609" s="13" t="str">
        <f>IF(A609="","",IF(AND(Agendamento!$C$3="",Agendamento!$C$7&lt;&gt;""),IF(Agendamento!$C$7='Base de Dados'!E609,"x",""),IF(AND(Agendamento!$C$3&lt;&gt;"",Agendamento!$C$7=""),IF(Agendamento!$C$3='Base de Dados'!A609,"x",""),IF(AND(Agendamento!$C$3='Base de Dados'!A609,'Base de Dados'!E609=Agendamento!$C$7),"x",""))))</f>
        <v/>
      </c>
      <c r="I609" s="13" t="str">
        <f>IF(H609="x",COUNT($I$1:I608)+1,"")</f>
        <v/>
      </c>
    </row>
    <row r="610" spans="1:9" x14ac:dyDescent="0.25">
      <c r="A610" s="27"/>
      <c r="B610" s="28"/>
      <c r="C610" s="29"/>
      <c r="D610" s="29"/>
      <c r="E610" s="28"/>
      <c r="F610" s="13" t="str">
        <f>IF(A610="","",IF(A610=Agendamento!$C$3,"x",""))</f>
        <v/>
      </c>
      <c r="G610" s="13" t="str">
        <f>IF(A610="","",IF(E610=Agendamento!$C$7,"x",""))</f>
        <v/>
      </c>
      <c r="H610" s="13" t="str">
        <f>IF(A610="","",IF(AND(Agendamento!$C$3="",Agendamento!$C$7&lt;&gt;""),IF(Agendamento!$C$7='Base de Dados'!E610,"x",""),IF(AND(Agendamento!$C$3&lt;&gt;"",Agendamento!$C$7=""),IF(Agendamento!$C$3='Base de Dados'!A610,"x",""),IF(AND(Agendamento!$C$3='Base de Dados'!A610,'Base de Dados'!E610=Agendamento!$C$7),"x",""))))</f>
        <v/>
      </c>
      <c r="I610" s="13" t="str">
        <f>IF(H610="x",COUNT($I$1:I609)+1,"")</f>
        <v/>
      </c>
    </row>
    <row r="611" spans="1:9" x14ac:dyDescent="0.25">
      <c r="A611" s="27"/>
      <c r="B611" s="28"/>
      <c r="C611" s="29"/>
      <c r="D611" s="29"/>
      <c r="E611" s="28"/>
      <c r="F611" s="13" t="str">
        <f>IF(A611="","",IF(A611=Agendamento!$C$3,"x",""))</f>
        <v/>
      </c>
      <c r="G611" s="13" t="str">
        <f>IF(A611="","",IF(E611=Agendamento!$C$7,"x",""))</f>
        <v/>
      </c>
      <c r="H611" s="13" t="str">
        <f>IF(A611="","",IF(AND(Agendamento!$C$3="",Agendamento!$C$7&lt;&gt;""),IF(Agendamento!$C$7='Base de Dados'!E611,"x",""),IF(AND(Agendamento!$C$3&lt;&gt;"",Agendamento!$C$7=""),IF(Agendamento!$C$3='Base de Dados'!A611,"x",""),IF(AND(Agendamento!$C$3='Base de Dados'!A611,'Base de Dados'!E611=Agendamento!$C$7),"x",""))))</f>
        <v/>
      </c>
      <c r="I611" s="13" t="str">
        <f>IF(H611="x",COUNT($I$1:I610)+1,"")</f>
        <v/>
      </c>
    </row>
    <row r="612" spans="1:9" x14ac:dyDescent="0.25">
      <c r="A612" s="27"/>
      <c r="B612" s="28"/>
      <c r="C612" s="29"/>
      <c r="D612" s="29"/>
      <c r="E612" s="28"/>
      <c r="F612" s="13" t="str">
        <f>IF(A612="","",IF(A612=Agendamento!$C$3,"x",""))</f>
        <v/>
      </c>
      <c r="G612" s="13" t="str">
        <f>IF(A612="","",IF(E612=Agendamento!$C$7,"x",""))</f>
        <v/>
      </c>
      <c r="H612" s="13" t="str">
        <f>IF(A612="","",IF(AND(Agendamento!$C$3="",Agendamento!$C$7&lt;&gt;""),IF(Agendamento!$C$7='Base de Dados'!E612,"x",""),IF(AND(Agendamento!$C$3&lt;&gt;"",Agendamento!$C$7=""),IF(Agendamento!$C$3='Base de Dados'!A612,"x",""),IF(AND(Agendamento!$C$3='Base de Dados'!A612,'Base de Dados'!E612=Agendamento!$C$7),"x",""))))</f>
        <v/>
      </c>
      <c r="I612" s="13" t="str">
        <f>IF(H612="x",COUNT($I$1:I611)+1,"")</f>
        <v/>
      </c>
    </row>
    <row r="613" spans="1:9" x14ac:dyDescent="0.25">
      <c r="A613" s="27"/>
      <c r="B613" s="28"/>
      <c r="C613" s="29"/>
      <c r="D613" s="29"/>
      <c r="E613" s="28"/>
      <c r="F613" s="13" t="str">
        <f>IF(A613="","",IF(A613=Agendamento!$C$3,"x",""))</f>
        <v/>
      </c>
      <c r="G613" s="13" t="str">
        <f>IF(A613="","",IF(E613=Agendamento!$C$7,"x",""))</f>
        <v/>
      </c>
      <c r="H613" s="13" t="str">
        <f>IF(A613="","",IF(AND(Agendamento!$C$3="",Agendamento!$C$7&lt;&gt;""),IF(Agendamento!$C$7='Base de Dados'!E613,"x",""),IF(AND(Agendamento!$C$3&lt;&gt;"",Agendamento!$C$7=""),IF(Agendamento!$C$3='Base de Dados'!A613,"x",""),IF(AND(Agendamento!$C$3='Base de Dados'!A613,'Base de Dados'!E613=Agendamento!$C$7),"x",""))))</f>
        <v/>
      </c>
      <c r="I613" s="13" t="str">
        <f>IF(H613="x",COUNT($I$1:I612)+1,"")</f>
        <v/>
      </c>
    </row>
    <row r="614" spans="1:9" x14ac:dyDescent="0.25">
      <c r="A614" s="27"/>
      <c r="B614" s="28"/>
      <c r="C614" s="29"/>
      <c r="D614" s="29"/>
      <c r="E614" s="28"/>
      <c r="F614" s="13" t="str">
        <f>IF(A614="","",IF(A614=Agendamento!$C$3,"x",""))</f>
        <v/>
      </c>
      <c r="G614" s="13" t="str">
        <f>IF(A614="","",IF(E614=Agendamento!$C$7,"x",""))</f>
        <v/>
      </c>
      <c r="H614" s="13" t="str">
        <f>IF(A614="","",IF(AND(Agendamento!$C$3="",Agendamento!$C$7&lt;&gt;""),IF(Agendamento!$C$7='Base de Dados'!E614,"x",""),IF(AND(Agendamento!$C$3&lt;&gt;"",Agendamento!$C$7=""),IF(Agendamento!$C$3='Base de Dados'!A614,"x",""),IF(AND(Agendamento!$C$3='Base de Dados'!A614,'Base de Dados'!E614=Agendamento!$C$7),"x",""))))</f>
        <v/>
      </c>
      <c r="I614" s="13" t="str">
        <f>IF(H614="x",COUNT($I$1:I613)+1,"")</f>
        <v/>
      </c>
    </row>
    <row r="615" spans="1:9" x14ac:dyDescent="0.25">
      <c r="A615" s="27"/>
      <c r="B615" s="28"/>
      <c r="C615" s="29"/>
      <c r="D615" s="29"/>
      <c r="E615" s="28"/>
      <c r="F615" s="13" t="str">
        <f>IF(A615="","",IF(A615=Agendamento!$C$3,"x",""))</f>
        <v/>
      </c>
      <c r="G615" s="13" t="str">
        <f>IF(A615="","",IF(E615=Agendamento!$C$7,"x",""))</f>
        <v/>
      </c>
      <c r="H615" s="13" t="str">
        <f>IF(A615="","",IF(AND(Agendamento!$C$3="",Agendamento!$C$7&lt;&gt;""),IF(Agendamento!$C$7='Base de Dados'!E615,"x",""),IF(AND(Agendamento!$C$3&lt;&gt;"",Agendamento!$C$7=""),IF(Agendamento!$C$3='Base de Dados'!A615,"x",""),IF(AND(Agendamento!$C$3='Base de Dados'!A615,'Base de Dados'!E615=Agendamento!$C$7),"x",""))))</f>
        <v/>
      </c>
      <c r="I615" s="13" t="str">
        <f>IF(H615="x",COUNT($I$1:I614)+1,"")</f>
        <v/>
      </c>
    </row>
    <row r="616" spans="1:9" x14ac:dyDescent="0.25">
      <c r="A616" s="27"/>
      <c r="B616" s="28"/>
      <c r="C616" s="29"/>
      <c r="D616" s="29"/>
      <c r="E616" s="28"/>
      <c r="F616" s="13" t="str">
        <f>IF(A616="","",IF(A616=Agendamento!$C$3,"x",""))</f>
        <v/>
      </c>
      <c r="G616" s="13" t="str">
        <f>IF(A616="","",IF(E616=Agendamento!$C$7,"x",""))</f>
        <v/>
      </c>
      <c r="H616" s="13" t="str">
        <f>IF(A616="","",IF(AND(Agendamento!$C$3="",Agendamento!$C$7&lt;&gt;""),IF(Agendamento!$C$7='Base de Dados'!E616,"x",""),IF(AND(Agendamento!$C$3&lt;&gt;"",Agendamento!$C$7=""),IF(Agendamento!$C$3='Base de Dados'!A616,"x",""),IF(AND(Agendamento!$C$3='Base de Dados'!A616,'Base de Dados'!E616=Agendamento!$C$7),"x",""))))</f>
        <v/>
      </c>
      <c r="I616" s="13" t="str">
        <f>IF(H616="x",COUNT($I$1:I615)+1,"")</f>
        <v/>
      </c>
    </row>
    <row r="617" spans="1:9" x14ac:dyDescent="0.25">
      <c r="A617" s="27"/>
      <c r="B617" s="28"/>
      <c r="C617" s="29"/>
      <c r="D617" s="29"/>
      <c r="E617" s="28"/>
      <c r="F617" s="13" t="str">
        <f>IF(A617="","",IF(A617=Agendamento!$C$3,"x",""))</f>
        <v/>
      </c>
      <c r="G617" s="13" t="str">
        <f>IF(A617="","",IF(E617=Agendamento!$C$7,"x",""))</f>
        <v/>
      </c>
      <c r="H617" s="13" t="str">
        <f>IF(A617="","",IF(AND(Agendamento!$C$3="",Agendamento!$C$7&lt;&gt;""),IF(Agendamento!$C$7='Base de Dados'!E617,"x",""),IF(AND(Agendamento!$C$3&lt;&gt;"",Agendamento!$C$7=""),IF(Agendamento!$C$3='Base de Dados'!A617,"x",""),IF(AND(Agendamento!$C$3='Base de Dados'!A617,'Base de Dados'!E617=Agendamento!$C$7),"x",""))))</f>
        <v/>
      </c>
      <c r="I617" s="13" t="str">
        <f>IF(H617="x",COUNT($I$1:I616)+1,"")</f>
        <v/>
      </c>
    </row>
    <row r="618" spans="1:9" x14ac:dyDescent="0.25">
      <c r="A618" s="27"/>
      <c r="B618" s="28"/>
      <c r="C618" s="29"/>
      <c r="D618" s="29"/>
      <c r="E618" s="28"/>
      <c r="F618" s="13" t="str">
        <f>IF(A618="","",IF(A618=Agendamento!$C$3,"x",""))</f>
        <v/>
      </c>
      <c r="G618" s="13" t="str">
        <f>IF(A618="","",IF(E618=Agendamento!$C$7,"x",""))</f>
        <v/>
      </c>
      <c r="H618" s="13" t="str">
        <f>IF(A618="","",IF(AND(Agendamento!$C$3="",Agendamento!$C$7&lt;&gt;""),IF(Agendamento!$C$7='Base de Dados'!E618,"x",""),IF(AND(Agendamento!$C$3&lt;&gt;"",Agendamento!$C$7=""),IF(Agendamento!$C$3='Base de Dados'!A618,"x",""),IF(AND(Agendamento!$C$3='Base de Dados'!A618,'Base de Dados'!E618=Agendamento!$C$7),"x",""))))</f>
        <v/>
      </c>
      <c r="I618" s="13" t="str">
        <f>IF(H618="x",COUNT($I$1:I617)+1,"")</f>
        <v/>
      </c>
    </row>
    <row r="619" spans="1:9" x14ac:dyDescent="0.25">
      <c r="A619" s="27"/>
      <c r="B619" s="28"/>
      <c r="C619" s="29"/>
      <c r="D619" s="29"/>
      <c r="E619" s="28"/>
      <c r="F619" s="13" t="str">
        <f>IF(A619="","",IF(A619=Agendamento!$C$3,"x",""))</f>
        <v/>
      </c>
      <c r="G619" s="13" t="str">
        <f>IF(A619="","",IF(E619=Agendamento!$C$7,"x",""))</f>
        <v/>
      </c>
      <c r="H619" s="13" t="str">
        <f>IF(A619="","",IF(AND(Agendamento!$C$3="",Agendamento!$C$7&lt;&gt;""),IF(Agendamento!$C$7='Base de Dados'!E619,"x",""),IF(AND(Agendamento!$C$3&lt;&gt;"",Agendamento!$C$7=""),IF(Agendamento!$C$3='Base de Dados'!A619,"x",""),IF(AND(Agendamento!$C$3='Base de Dados'!A619,'Base de Dados'!E619=Agendamento!$C$7),"x",""))))</f>
        <v/>
      </c>
      <c r="I619" s="13" t="str">
        <f>IF(H619="x",COUNT($I$1:I618)+1,"")</f>
        <v/>
      </c>
    </row>
    <row r="620" spans="1:9" x14ac:dyDescent="0.25">
      <c r="A620" s="27"/>
      <c r="B620" s="28"/>
      <c r="C620" s="29"/>
      <c r="D620" s="29"/>
      <c r="E620" s="28"/>
      <c r="F620" s="13" t="str">
        <f>IF(A620="","",IF(A620=Agendamento!$C$3,"x",""))</f>
        <v/>
      </c>
      <c r="G620" s="13" t="str">
        <f>IF(A620="","",IF(E620=Agendamento!$C$7,"x",""))</f>
        <v/>
      </c>
      <c r="H620" s="13" t="str">
        <f>IF(A620="","",IF(AND(Agendamento!$C$3="",Agendamento!$C$7&lt;&gt;""),IF(Agendamento!$C$7='Base de Dados'!E620,"x",""),IF(AND(Agendamento!$C$3&lt;&gt;"",Agendamento!$C$7=""),IF(Agendamento!$C$3='Base de Dados'!A620,"x",""),IF(AND(Agendamento!$C$3='Base de Dados'!A620,'Base de Dados'!E620=Agendamento!$C$7),"x",""))))</f>
        <v/>
      </c>
      <c r="I620" s="13" t="str">
        <f>IF(H620="x",COUNT($I$1:I619)+1,"")</f>
        <v/>
      </c>
    </row>
    <row r="621" spans="1:9" x14ac:dyDescent="0.25">
      <c r="A621" s="27"/>
      <c r="B621" s="28"/>
      <c r="C621" s="29"/>
      <c r="D621" s="29"/>
      <c r="E621" s="28"/>
      <c r="F621" s="13" t="str">
        <f>IF(A621="","",IF(A621=Agendamento!$C$3,"x",""))</f>
        <v/>
      </c>
      <c r="G621" s="13" t="str">
        <f>IF(A621="","",IF(E621=Agendamento!$C$7,"x",""))</f>
        <v/>
      </c>
      <c r="H621" s="13" t="str">
        <f>IF(A621="","",IF(AND(Agendamento!$C$3="",Agendamento!$C$7&lt;&gt;""),IF(Agendamento!$C$7='Base de Dados'!E621,"x",""),IF(AND(Agendamento!$C$3&lt;&gt;"",Agendamento!$C$7=""),IF(Agendamento!$C$3='Base de Dados'!A621,"x",""),IF(AND(Agendamento!$C$3='Base de Dados'!A621,'Base de Dados'!E621=Agendamento!$C$7),"x",""))))</f>
        <v/>
      </c>
      <c r="I621" s="13" t="str">
        <f>IF(H621="x",COUNT($I$1:I620)+1,"")</f>
        <v/>
      </c>
    </row>
    <row r="622" spans="1:9" x14ac:dyDescent="0.25">
      <c r="A622" s="27"/>
      <c r="B622" s="28"/>
      <c r="C622" s="29"/>
      <c r="D622" s="29"/>
      <c r="E622" s="28"/>
      <c r="F622" s="13" t="str">
        <f>IF(A622="","",IF(A622=Agendamento!$C$3,"x",""))</f>
        <v/>
      </c>
      <c r="G622" s="13" t="str">
        <f>IF(A622="","",IF(E622=Agendamento!$C$7,"x",""))</f>
        <v/>
      </c>
      <c r="H622" s="13" t="str">
        <f>IF(A622="","",IF(AND(Agendamento!$C$3="",Agendamento!$C$7&lt;&gt;""),IF(Agendamento!$C$7='Base de Dados'!E622,"x",""),IF(AND(Agendamento!$C$3&lt;&gt;"",Agendamento!$C$7=""),IF(Agendamento!$C$3='Base de Dados'!A622,"x",""),IF(AND(Agendamento!$C$3='Base de Dados'!A622,'Base de Dados'!E622=Agendamento!$C$7),"x",""))))</f>
        <v/>
      </c>
      <c r="I622" s="13" t="str">
        <f>IF(H622="x",COUNT($I$1:I621)+1,"")</f>
        <v/>
      </c>
    </row>
    <row r="623" spans="1:9" x14ac:dyDescent="0.25">
      <c r="A623" s="27"/>
      <c r="B623" s="28"/>
      <c r="C623" s="29"/>
      <c r="D623" s="29"/>
      <c r="E623" s="28"/>
      <c r="F623" s="13" t="str">
        <f>IF(A623="","",IF(A623=Agendamento!$C$3,"x",""))</f>
        <v/>
      </c>
      <c r="G623" s="13" t="str">
        <f>IF(A623="","",IF(E623=Agendamento!$C$7,"x",""))</f>
        <v/>
      </c>
      <c r="H623" s="13" t="str">
        <f>IF(A623="","",IF(AND(Agendamento!$C$3="",Agendamento!$C$7&lt;&gt;""),IF(Agendamento!$C$7='Base de Dados'!E623,"x",""),IF(AND(Agendamento!$C$3&lt;&gt;"",Agendamento!$C$7=""),IF(Agendamento!$C$3='Base de Dados'!A623,"x",""),IF(AND(Agendamento!$C$3='Base de Dados'!A623,'Base de Dados'!E623=Agendamento!$C$7),"x",""))))</f>
        <v/>
      </c>
      <c r="I623" s="13" t="str">
        <f>IF(H623="x",COUNT($I$1:I622)+1,"")</f>
        <v/>
      </c>
    </row>
    <row r="624" spans="1:9" x14ac:dyDescent="0.25">
      <c r="A624" s="27"/>
      <c r="B624" s="28"/>
      <c r="C624" s="29"/>
      <c r="D624" s="29"/>
      <c r="E624" s="28"/>
      <c r="F624" s="13" t="str">
        <f>IF(A624="","",IF(A624=Agendamento!$C$3,"x",""))</f>
        <v/>
      </c>
      <c r="G624" s="13" t="str">
        <f>IF(A624="","",IF(E624=Agendamento!$C$7,"x",""))</f>
        <v/>
      </c>
      <c r="H624" s="13" t="str">
        <f>IF(A624="","",IF(AND(Agendamento!$C$3="",Agendamento!$C$7&lt;&gt;""),IF(Agendamento!$C$7='Base de Dados'!E624,"x",""),IF(AND(Agendamento!$C$3&lt;&gt;"",Agendamento!$C$7=""),IF(Agendamento!$C$3='Base de Dados'!A624,"x",""),IF(AND(Agendamento!$C$3='Base de Dados'!A624,'Base de Dados'!E624=Agendamento!$C$7),"x",""))))</f>
        <v/>
      </c>
      <c r="I624" s="13" t="str">
        <f>IF(H624="x",COUNT($I$1:I623)+1,"")</f>
        <v/>
      </c>
    </row>
    <row r="625" spans="1:9" x14ac:dyDescent="0.25">
      <c r="A625" s="27"/>
      <c r="B625" s="28"/>
      <c r="C625" s="29"/>
      <c r="D625" s="29"/>
      <c r="E625" s="28"/>
      <c r="F625" s="13" t="str">
        <f>IF(A625="","",IF(A625=Agendamento!$C$3,"x",""))</f>
        <v/>
      </c>
      <c r="G625" s="13" t="str">
        <f>IF(A625="","",IF(E625=Agendamento!$C$7,"x",""))</f>
        <v/>
      </c>
      <c r="H625" s="13" t="str">
        <f>IF(A625="","",IF(AND(Agendamento!$C$3="",Agendamento!$C$7&lt;&gt;""),IF(Agendamento!$C$7='Base de Dados'!E625,"x",""),IF(AND(Agendamento!$C$3&lt;&gt;"",Agendamento!$C$7=""),IF(Agendamento!$C$3='Base de Dados'!A625,"x",""),IF(AND(Agendamento!$C$3='Base de Dados'!A625,'Base de Dados'!E625=Agendamento!$C$7),"x",""))))</f>
        <v/>
      </c>
      <c r="I625" s="13" t="str">
        <f>IF(H625="x",COUNT($I$1:I624)+1,"")</f>
        <v/>
      </c>
    </row>
    <row r="626" spans="1:9" x14ac:dyDescent="0.25">
      <c r="A626" s="27"/>
      <c r="B626" s="28"/>
      <c r="C626" s="29"/>
      <c r="D626" s="29"/>
      <c r="E626" s="28"/>
      <c r="F626" s="13" t="str">
        <f>IF(A626="","",IF(A626=Agendamento!$C$3,"x",""))</f>
        <v/>
      </c>
      <c r="G626" s="13" t="str">
        <f>IF(A626="","",IF(E626=Agendamento!$C$7,"x",""))</f>
        <v/>
      </c>
      <c r="H626" s="13" t="str">
        <f>IF(A626="","",IF(AND(Agendamento!$C$3="",Agendamento!$C$7&lt;&gt;""),IF(Agendamento!$C$7='Base de Dados'!E626,"x",""),IF(AND(Agendamento!$C$3&lt;&gt;"",Agendamento!$C$7=""),IF(Agendamento!$C$3='Base de Dados'!A626,"x",""),IF(AND(Agendamento!$C$3='Base de Dados'!A626,'Base de Dados'!E626=Agendamento!$C$7),"x",""))))</f>
        <v/>
      </c>
      <c r="I626" s="13" t="str">
        <f>IF(H626="x",COUNT($I$1:I625)+1,"")</f>
        <v/>
      </c>
    </row>
    <row r="627" spans="1:9" x14ac:dyDescent="0.25">
      <c r="A627" s="27"/>
      <c r="B627" s="28"/>
      <c r="C627" s="29"/>
      <c r="D627" s="29"/>
      <c r="E627" s="28"/>
      <c r="F627" s="13" t="str">
        <f>IF(A627="","",IF(A627=Agendamento!$C$3,"x",""))</f>
        <v/>
      </c>
      <c r="G627" s="13" t="str">
        <f>IF(A627="","",IF(E627=Agendamento!$C$7,"x",""))</f>
        <v/>
      </c>
      <c r="H627" s="13" t="str">
        <f>IF(A627="","",IF(AND(Agendamento!$C$3="",Agendamento!$C$7&lt;&gt;""),IF(Agendamento!$C$7='Base de Dados'!E627,"x",""),IF(AND(Agendamento!$C$3&lt;&gt;"",Agendamento!$C$7=""),IF(Agendamento!$C$3='Base de Dados'!A627,"x",""),IF(AND(Agendamento!$C$3='Base de Dados'!A627,'Base de Dados'!E627=Agendamento!$C$7),"x",""))))</f>
        <v/>
      </c>
      <c r="I627" s="13" t="str">
        <f>IF(H627="x",COUNT($I$1:I626)+1,"")</f>
        <v/>
      </c>
    </row>
    <row r="628" spans="1:9" x14ac:dyDescent="0.25">
      <c r="A628" s="27"/>
      <c r="B628" s="28"/>
      <c r="C628" s="29"/>
      <c r="D628" s="29"/>
      <c r="E628" s="28"/>
      <c r="F628" s="13" t="str">
        <f>IF(A628="","",IF(A628=Agendamento!$C$3,"x",""))</f>
        <v/>
      </c>
      <c r="G628" s="13" t="str">
        <f>IF(A628="","",IF(E628=Agendamento!$C$7,"x",""))</f>
        <v/>
      </c>
      <c r="H628" s="13" t="str">
        <f>IF(A628="","",IF(AND(Agendamento!$C$3="",Agendamento!$C$7&lt;&gt;""),IF(Agendamento!$C$7='Base de Dados'!E628,"x",""),IF(AND(Agendamento!$C$3&lt;&gt;"",Agendamento!$C$7=""),IF(Agendamento!$C$3='Base de Dados'!A628,"x",""),IF(AND(Agendamento!$C$3='Base de Dados'!A628,'Base de Dados'!E628=Agendamento!$C$7),"x",""))))</f>
        <v/>
      </c>
      <c r="I628" s="13" t="str">
        <f>IF(H628="x",COUNT($I$1:I627)+1,"")</f>
        <v/>
      </c>
    </row>
    <row r="629" spans="1:9" x14ac:dyDescent="0.25">
      <c r="A629" s="27"/>
      <c r="B629" s="28"/>
      <c r="C629" s="29"/>
      <c r="D629" s="29"/>
      <c r="E629" s="28"/>
      <c r="F629" s="13" t="str">
        <f>IF(A629="","",IF(A629=Agendamento!$C$3,"x",""))</f>
        <v/>
      </c>
      <c r="G629" s="13" t="str">
        <f>IF(A629="","",IF(E629=Agendamento!$C$7,"x",""))</f>
        <v/>
      </c>
      <c r="H629" s="13" t="str">
        <f>IF(A629="","",IF(AND(Agendamento!$C$3="",Agendamento!$C$7&lt;&gt;""),IF(Agendamento!$C$7='Base de Dados'!E629,"x",""),IF(AND(Agendamento!$C$3&lt;&gt;"",Agendamento!$C$7=""),IF(Agendamento!$C$3='Base de Dados'!A629,"x",""),IF(AND(Agendamento!$C$3='Base de Dados'!A629,'Base de Dados'!E629=Agendamento!$C$7),"x",""))))</f>
        <v/>
      </c>
      <c r="I629" s="13" t="str">
        <f>IF(H629="x",COUNT($I$1:I628)+1,"")</f>
        <v/>
      </c>
    </row>
    <row r="630" spans="1:9" x14ac:dyDescent="0.25">
      <c r="A630" s="27"/>
      <c r="B630" s="28"/>
      <c r="C630" s="29"/>
      <c r="D630" s="29"/>
      <c r="E630" s="28"/>
      <c r="F630" s="13" t="str">
        <f>IF(A630="","",IF(A630=Agendamento!$C$3,"x",""))</f>
        <v/>
      </c>
      <c r="G630" s="13" t="str">
        <f>IF(A630="","",IF(E630=Agendamento!$C$7,"x",""))</f>
        <v/>
      </c>
      <c r="H630" s="13" t="str">
        <f>IF(A630="","",IF(AND(Agendamento!$C$3="",Agendamento!$C$7&lt;&gt;""),IF(Agendamento!$C$7='Base de Dados'!E630,"x",""),IF(AND(Agendamento!$C$3&lt;&gt;"",Agendamento!$C$7=""),IF(Agendamento!$C$3='Base de Dados'!A630,"x",""),IF(AND(Agendamento!$C$3='Base de Dados'!A630,'Base de Dados'!E630=Agendamento!$C$7),"x",""))))</f>
        <v/>
      </c>
      <c r="I630" s="13" t="str">
        <f>IF(H630="x",COUNT($I$1:I629)+1,"")</f>
        <v/>
      </c>
    </row>
    <row r="631" spans="1:9" x14ac:dyDescent="0.25">
      <c r="A631" s="27"/>
      <c r="B631" s="28"/>
      <c r="C631" s="29"/>
      <c r="D631" s="29"/>
      <c r="E631" s="28"/>
      <c r="F631" s="13" t="str">
        <f>IF(A631="","",IF(A631=Agendamento!$C$3,"x",""))</f>
        <v/>
      </c>
      <c r="G631" s="13" t="str">
        <f>IF(A631="","",IF(E631=Agendamento!$C$7,"x",""))</f>
        <v/>
      </c>
      <c r="H631" s="13" t="str">
        <f>IF(A631="","",IF(AND(Agendamento!$C$3="",Agendamento!$C$7&lt;&gt;""),IF(Agendamento!$C$7='Base de Dados'!E631,"x",""),IF(AND(Agendamento!$C$3&lt;&gt;"",Agendamento!$C$7=""),IF(Agendamento!$C$3='Base de Dados'!A631,"x",""),IF(AND(Agendamento!$C$3='Base de Dados'!A631,'Base de Dados'!E631=Agendamento!$C$7),"x",""))))</f>
        <v/>
      </c>
      <c r="I631" s="13" t="str">
        <f>IF(H631="x",COUNT($I$1:I630)+1,"")</f>
        <v/>
      </c>
    </row>
    <row r="632" spans="1:9" x14ac:dyDescent="0.25">
      <c r="A632" s="27"/>
      <c r="B632" s="28"/>
      <c r="C632" s="29"/>
      <c r="D632" s="29"/>
      <c r="E632" s="28"/>
      <c r="F632" s="13" t="str">
        <f>IF(A632="","",IF(A632=Agendamento!$C$3,"x",""))</f>
        <v/>
      </c>
      <c r="G632" s="13" t="str">
        <f>IF(A632="","",IF(E632=Agendamento!$C$7,"x",""))</f>
        <v/>
      </c>
      <c r="H632" s="13" t="str">
        <f>IF(A632="","",IF(AND(Agendamento!$C$3="",Agendamento!$C$7&lt;&gt;""),IF(Agendamento!$C$7='Base de Dados'!E632,"x",""),IF(AND(Agendamento!$C$3&lt;&gt;"",Agendamento!$C$7=""),IF(Agendamento!$C$3='Base de Dados'!A632,"x",""),IF(AND(Agendamento!$C$3='Base de Dados'!A632,'Base de Dados'!E632=Agendamento!$C$7),"x",""))))</f>
        <v/>
      </c>
      <c r="I632" s="13" t="str">
        <f>IF(H632="x",COUNT($I$1:I631)+1,"")</f>
        <v/>
      </c>
    </row>
    <row r="633" spans="1:9" x14ac:dyDescent="0.25">
      <c r="A633" s="27"/>
      <c r="B633" s="28"/>
      <c r="C633" s="29"/>
      <c r="D633" s="29"/>
      <c r="E633" s="28"/>
      <c r="F633" s="13" t="str">
        <f>IF(A633="","",IF(A633=Agendamento!$C$3,"x",""))</f>
        <v/>
      </c>
      <c r="G633" s="13" t="str">
        <f>IF(A633="","",IF(E633=Agendamento!$C$7,"x",""))</f>
        <v/>
      </c>
      <c r="H633" s="13" t="str">
        <f>IF(A633="","",IF(AND(Agendamento!$C$3="",Agendamento!$C$7&lt;&gt;""),IF(Agendamento!$C$7='Base de Dados'!E633,"x",""),IF(AND(Agendamento!$C$3&lt;&gt;"",Agendamento!$C$7=""),IF(Agendamento!$C$3='Base de Dados'!A633,"x",""),IF(AND(Agendamento!$C$3='Base de Dados'!A633,'Base de Dados'!E633=Agendamento!$C$7),"x",""))))</f>
        <v/>
      </c>
      <c r="I633" s="13" t="str">
        <f>IF(H633="x",COUNT($I$1:I632)+1,"")</f>
        <v/>
      </c>
    </row>
    <row r="634" spans="1:9" x14ac:dyDescent="0.25">
      <c r="A634" s="27"/>
      <c r="B634" s="28"/>
      <c r="C634" s="29"/>
      <c r="D634" s="29"/>
      <c r="E634" s="28"/>
      <c r="F634" s="13" t="str">
        <f>IF(A634="","",IF(A634=Agendamento!$C$3,"x",""))</f>
        <v/>
      </c>
      <c r="G634" s="13" t="str">
        <f>IF(A634="","",IF(E634=Agendamento!$C$7,"x",""))</f>
        <v/>
      </c>
      <c r="H634" s="13" t="str">
        <f>IF(A634="","",IF(AND(Agendamento!$C$3="",Agendamento!$C$7&lt;&gt;""),IF(Agendamento!$C$7='Base de Dados'!E634,"x",""),IF(AND(Agendamento!$C$3&lt;&gt;"",Agendamento!$C$7=""),IF(Agendamento!$C$3='Base de Dados'!A634,"x",""),IF(AND(Agendamento!$C$3='Base de Dados'!A634,'Base de Dados'!E634=Agendamento!$C$7),"x",""))))</f>
        <v/>
      </c>
      <c r="I634" s="13" t="str">
        <f>IF(H634="x",COUNT($I$1:I633)+1,"")</f>
        <v/>
      </c>
    </row>
    <row r="635" spans="1:9" x14ac:dyDescent="0.25">
      <c r="A635" s="27"/>
      <c r="B635" s="28"/>
      <c r="C635" s="29"/>
      <c r="D635" s="29"/>
      <c r="E635" s="28"/>
      <c r="F635" s="13" t="str">
        <f>IF(A635="","",IF(A635=Agendamento!$C$3,"x",""))</f>
        <v/>
      </c>
      <c r="G635" s="13" t="str">
        <f>IF(A635="","",IF(E635=Agendamento!$C$7,"x",""))</f>
        <v/>
      </c>
      <c r="H635" s="13" t="str">
        <f>IF(A635="","",IF(AND(Agendamento!$C$3="",Agendamento!$C$7&lt;&gt;""),IF(Agendamento!$C$7='Base de Dados'!E635,"x",""),IF(AND(Agendamento!$C$3&lt;&gt;"",Agendamento!$C$7=""),IF(Agendamento!$C$3='Base de Dados'!A635,"x",""),IF(AND(Agendamento!$C$3='Base de Dados'!A635,'Base de Dados'!E635=Agendamento!$C$7),"x",""))))</f>
        <v/>
      </c>
      <c r="I635" s="13" t="str">
        <f>IF(H635="x",COUNT($I$1:I634)+1,"")</f>
        <v/>
      </c>
    </row>
    <row r="636" spans="1:9" x14ac:dyDescent="0.25">
      <c r="A636" s="27"/>
      <c r="B636" s="28"/>
      <c r="C636" s="29"/>
      <c r="D636" s="29"/>
      <c r="E636" s="28"/>
      <c r="F636" s="13" t="str">
        <f>IF(A636="","",IF(A636=Agendamento!$C$3,"x",""))</f>
        <v/>
      </c>
      <c r="G636" s="13" t="str">
        <f>IF(A636="","",IF(E636=Agendamento!$C$7,"x",""))</f>
        <v/>
      </c>
      <c r="H636" s="13" t="str">
        <f>IF(A636="","",IF(AND(Agendamento!$C$3="",Agendamento!$C$7&lt;&gt;""),IF(Agendamento!$C$7='Base de Dados'!E636,"x",""),IF(AND(Agendamento!$C$3&lt;&gt;"",Agendamento!$C$7=""),IF(Agendamento!$C$3='Base de Dados'!A636,"x",""),IF(AND(Agendamento!$C$3='Base de Dados'!A636,'Base de Dados'!E636=Agendamento!$C$7),"x",""))))</f>
        <v/>
      </c>
      <c r="I636" s="13" t="str">
        <f>IF(H636="x",COUNT($I$1:I635)+1,"")</f>
        <v/>
      </c>
    </row>
    <row r="637" spans="1:9" x14ac:dyDescent="0.25">
      <c r="A637" s="27"/>
      <c r="B637" s="28"/>
      <c r="C637" s="29"/>
      <c r="D637" s="29"/>
      <c r="E637" s="28"/>
      <c r="F637" s="13" t="str">
        <f>IF(A637="","",IF(A637=Agendamento!$C$3,"x",""))</f>
        <v/>
      </c>
      <c r="G637" s="13" t="str">
        <f>IF(A637="","",IF(E637=Agendamento!$C$7,"x",""))</f>
        <v/>
      </c>
      <c r="H637" s="13" t="str">
        <f>IF(A637="","",IF(AND(Agendamento!$C$3="",Agendamento!$C$7&lt;&gt;""),IF(Agendamento!$C$7='Base de Dados'!E637,"x",""),IF(AND(Agendamento!$C$3&lt;&gt;"",Agendamento!$C$7=""),IF(Agendamento!$C$3='Base de Dados'!A637,"x",""),IF(AND(Agendamento!$C$3='Base de Dados'!A637,'Base de Dados'!E637=Agendamento!$C$7),"x",""))))</f>
        <v/>
      </c>
      <c r="I637" s="13" t="str">
        <f>IF(H637="x",COUNT($I$1:I636)+1,"")</f>
        <v/>
      </c>
    </row>
    <row r="638" spans="1:9" x14ac:dyDescent="0.25">
      <c r="A638" s="27"/>
      <c r="B638" s="28"/>
      <c r="C638" s="29"/>
      <c r="D638" s="29"/>
      <c r="E638" s="28"/>
      <c r="F638" s="13" t="str">
        <f>IF(A638="","",IF(A638=Agendamento!$C$3,"x",""))</f>
        <v/>
      </c>
      <c r="G638" s="13" t="str">
        <f>IF(A638="","",IF(E638=Agendamento!$C$7,"x",""))</f>
        <v/>
      </c>
      <c r="H638" s="13" t="str">
        <f>IF(A638="","",IF(AND(Agendamento!$C$3="",Agendamento!$C$7&lt;&gt;""),IF(Agendamento!$C$7='Base de Dados'!E638,"x",""),IF(AND(Agendamento!$C$3&lt;&gt;"",Agendamento!$C$7=""),IF(Agendamento!$C$3='Base de Dados'!A638,"x",""),IF(AND(Agendamento!$C$3='Base de Dados'!A638,'Base de Dados'!E638=Agendamento!$C$7),"x",""))))</f>
        <v/>
      </c>
      <c r="I638" s="13" t="str">
        <f>IF(H638="x",COUNT($I$1:I637)+1,"")</f>
        <v/>
      </c>
    </row>
    <row r="639" spans="1:9" x14ac:dyDescent="0.25">
      <c r="A639" s="27"/>
      <c r="B639" s="28"/>
      <c r="C639" s="29"/>
      <c r="D639" s="29"/>
      <c r="E639" s="28"/>
      <c r="F639" s="13" t="str">
        <f>IF(A639="","",IF(A639=Agendamento!$C$3,"x",""))</f>
        <v/>
      </c>
      <c r="G639" s="13" t="str">
        <f>IF(A639="","",IF(E639=Agendamento!$C$7,"x",""))</f>
        <v/>
      </c>
      <c r="H639" s="13" t="str">
        <f>IF(A639="","",IF(AND(Agendamento!$C$3="",Agendamento!$C$7&lt;&gt;""),IF(Agendamento!$C$7='Base de Dados'!E639,"x",""),IF(AND(Agendamento!$C$3&lt;&gt;"",Agendamento!$C$7=""),IF(Agendamento!$C$3='Base de Dados'!A639,"x",""),IF(AND(Agendamento!$C$3='Base de Dados'!A639,'Base de Dados'!E639=Agendamento!$C$7),"x",""))))</f>
        <v/>
      </c>
      <c r="I639" s="13" t="str">
        <f>IF(H639="x",COUNT($I$1:I638)+1,"")</f>
        <v/>
      </c>
    </row>
    <row r="640" spans="1:9" x14ac:dyDescent="0.25">
      <c r="A640" s="27"/>
      <c r="B640" s="28"/>
      <c r="C640" s="29"/>
      <c r="D640" s="29"/>
      <c r="E640" s="28"/>
      <c r="F640" s="13" t="str">
        <f>IF(A640="","",IF(A640=Agendamento!$C$3,"x",""))</f>
        <v/>
      </c>
      <c r="G640" s="13" t="str">
        <f>IF(A640="","",IF(E640=Agendamento!$C$7,"x",""))</f>
        <v/>
      </c>
      <c r="H640" s="13" t="str">
        <f>IF(A640="","",IF(AND(Agendamento!$C$3="",Agendamento!$C$7&lt;&gt;""),IF(Agendamento!$C$7='Base de Dados'!E640,"x",""),IF(AND(Agendamento!$C$3&lt;&gt;"",Agendamento!$C$7=""),IF(Agendamento!$C$3='Base de Dados'!A640,"x",""),IF(AND(Agendamento!$C$3='Base de Dados'!A640,'Base de Dados'!E640=Agendamento!$C$7),"x",""))))</f>
        <v/>
      </c>
      <c r="I640" s="13" t="str">
        <f>IF(H640="x",COUNT($I$1:I639)+1,"")</f>
        <v/>
      </c>
    </row>
    <row r="641" spans="1:9" x14ac:dyDescent="0.25">
      <c r="A641" s="27"/>
      <c r="B641" s="28"/>
      <c r="C641" s="29"/>
      <c r="D641" s="29"/>
      <c r="E641" s="28"/>
      <c r="F641" s="13" t="str">
        <f>IF(A641="","",IF(A641=Agendamento!$C$3,"x",""))</f>
        <v/>
      </c>
      <c r="G641" s="13" t="str">
        <f>IF(A641="","",IF(E641=Agendamento!$C$7,"x",""))</f>
        <v/>
      </c>
      <c r="H641" s="13" t="str">
        <f>IF(A641="","",IF(AND(Agendamento!$C$3="",Agendamento!$C$7&lt;&gt;""),IF(Agendamento!$C$7='Base de Dados'!E641,"x",""),IF(AND(Agendamento!$C$3&lt;&gt;"",Agendamento!$C$7=""),IF(Agendamento!$C$3='Base de Dados'!A641,"x",""),IF(AND(Agendamento!$C$3='Base de Dados'!A641,'Base de Dados'!E641=Agendamento!$C$7),"x",""))))</f>
        <v/>
      </c>
      <c r="I641" s="13" t="str">
        <f>IF(H641="x",COUNT($I$1:I640)+1,"")</f>
        <v/>
      </c>
    </row>
    <row r="642" spans="1:9" x14ac:dyDescent="0.25">
      <c r="A642" s="27"/>
      <c r="B642" s="28"/>
      <c r="C642" s="29"/>
      <c r="D642" s="29"/>
      <c r="E642" s="28"/>
      <c r="F642" s="13" t="str">
        <f>IF(A642="","",IF(A642=Agendamento!$C$3,"x",""))</f>
        <v/>
      </c>
      <c r="G642" s="13" t="str">
        <f>IF(A642="","",IF(E642=Agendamento!$C$7,"x",""))</f>
        <v/>
      </c>
      <c r="H642" s="13" t="str">
        <f>IF(A642="","",IF(AND(Agendamento!$C$3="",Agendamento!$C$7&lt;&gt;""),IF(Agendamento!$C$7='Base de Dados'!E642,"x",""),IF(AND(Agendamento!$C$3&lt;&gt;"",Agendamento!$C$7=""),IF(Agendamento!$C$3='Base de Dados'!A642,"x",""),IF(AND(Agendamento!$C$3='Base de Dados'!A642,'Base de Dados'!E642=Agendamento!$C$7),"x",""))))</f>
        <v/>
      </c>
      <c r="I642" s="13" t="str">
        <f>IF(H642="x",COUNT($I$1:I641)+1,"")</f>
        <v/>
      </c>
    </row>
    <row r="643" spans="1:9" x14ac:dyDescent="0.25">
      <c r="A643" s="27"/>
      <c r="B643" s="28"/>
      <c r="C643" s="29"/>
      <c r="D643" s="29"/>
      <c r="E643" s="28"/>
      <c r="F643" s="13" t="str">
        <f>IF(A643="","",IF(A643=Agendamento!$C$3,"x",""))</f>
        <v/>
      </c>
      <c r="G643" s="13" t="str">
        <f>IF(A643="","",IF(E643=Agendamento!$C$7,"x",""))</f>
        <v/>
      </c>
      <c r="H643" s="13" t="str">
        <f>IF(A643="","",IF(AND(Agendamento!$C$3="",Agendamento!$C$7&lt;&gt;""),IF(Agendamento!$C$7='Base de Dados'!E643,"x",""),IF(AND(Agendamento!$C$3&lt;&gt;"",Agendamento!$C$7=""),IF(Agendamento!$C$3='Base de Dados'!A643,"x",""),IF(AND(Agendamento!$C$3='Base de Dados'!A643,'Base de Dados'!E643=Agendamento!$C$7),"x",""))))</f>
        <v/>
      </c>
      <c r="I643" s="13" t="str">
        <f>IF(H643="x",COUNT($I$1:I642)+1,"")</f>
        <v/>
      </c>
    </row>
    <row r="644" spans="1:9" x14ac:dyDescent="0.25">
      <c r="A644" s="27"/>
      <c r="B644" s="28"/>
      <c r="C644" s="29"/>
      <c r="D644" s="29"/>
      <c r="E644" s="28"/>
      <c r="F644" s="13" t="str">
        <f>IF(A644="","",IF(A644=Agendamento!$C$3,"x",""))</f>
        <v/>
      </c>
      <c r="G644" s="13" t="str">
        <f>IF(A644="","",IF(E644=Agendamento!$C$7,"x",""))</f>
        <v/>
      </c>
      <c r="H644" s="13" t="str">
        <f>IF(A644="","",IF(AND(Agendamento!$C$3="",Agendamento!$C$7&lt;&gt;""),IF(Agendamento!$C$7='Base de Dados'!E644,"x",""),IF(AND(Agendamento!$C$3&lt;&gt;"",Agendamento!$C$7=""),IF(Agendamento!$C$3='Base de Dados'!A644,"x",""),IF(AND(Agendamento!$C$3='Base de Dados'!A644,'Base de Dados'!E644=Agendamento!$C$7),"x",""))))</f>
        <v/>
      </c>
      <c r="I644" s="13" t="str">
        <f>IF(H644="x",COUNT($I$1:I643)+1,"")</f>
        <v/>
      </c>
    </row>
    <row r="645" spans="1:9" x14ac:dyDescent="0.25">
      <c r="A645" s="27"/>
      <c r="B645" s="28"/>
      <c r="C645" s="29"/>
      <c r="D645" s="29"/>
      <c r="E645" s="28"/>
      <c r="F645" s="13" t="str">
        <f>IF(A645="","",IF(A645=Agendamento!$C$3,"x",""))</f>
        <v/>
      </c>
      <c r="G645" s="13" t="str">
        <f>IF(A645="","",IF(E645=Agendamento!$C$7,"x",""))</f>
        <v/>
      </c>
      <c r="H645" s="13" t="str">
        <f>IF(A645="","",IF(AND(Agendamento!$C$3="",Agendamento!$C$7&lt;&gt;""),IF(Agendamento!$C$7='Base de Dados'!E645,"x",""),IF(AND(Agendamento!$C$3&lt;&gt;"",Agendamento!$C$7=""),IF(Agendamento!$C$3='Base de Dados'!A645,"x",""),IF(AND(Agendamento!$C$3='Base de Dados'!A645,'Base de Dados'!E645=Agendamento!$C$7),"x",""))))</f>
        <v/>
      </c>
      <c r="I645" s="13" t="str">
        <f>IF(H645="x",COUNT($I$1:I644)+1,"")</f>
        <v/>
      </c>
    </row>
    <row r="646" spans="1:9" x14ac:dyDescent="0.25">
      <c r="A646" s="27"/>
      <c r="B646" s="28"/>
      <c r="C646" s="29"/>
      <c r="D646" s="29"/>
      <c r="E646" s="28"/>
      <c r="F646" s="13" t="str">
        <f>IF(A646="","",IF(A646=Agendamento!$C$3,"x",""))</f>
        <v/>
      </c>
      <c r="G646" s="13" t="str">
        <f>IF(A646="","",IF(E646=Agendamento!$C$7,"x",""))</f>
        <v/>
      </c>
      <c r="H646" s="13" t="str">
        <f>IF(A646="","",IF(AND(Agendamento!$C$3="",Agendamento!$C$7&lt;&gt;""),IF(Agendamento!$C$7='Base de Dados'!E646,"x",""),IF(AND(Agendamento!$C$3&lt;&gt;"",Agendamento!$C$7=""),IF(Agendamento!$C$3='Base de Dados'!A646,"x",""),IF(AND(Agendamento!$C$3='Base de Dados'!A646,'Base de Dados'!E646=Agendamento!$C$7),"x",""))))</f>
        <v/>
      </c>
      <c r="I646" s="13" t="str">
        <f>IF(H646="x",COUNT($I$1:I645)+1,"")</f>
        <v/>
      </c>
    </row>
    <row r="647" spans="1:9" x14ac:dyDescent="0.25">
      <c r="A647" s="27"/>
      <c r="B647" s="28"/>
      <c r="C647" s="29"/>
      <c r="D647" s="29"/>
      <c r="E647" s="28"/>
      <c r="F647" s="13" t="str">
        <f>IF(A647="","",IF(A647=Agendamento!$C$3,"x",""))</f>
        <v/>
      </c>
      <c r="G647" s="13" t="str">
        <f>IF(A647="","",IF(E647=Agendamento!$C$7,"x",""))</f>
        <v/>
      </c>
      <c r="H647" s="13" t="str">
        <f>IF(A647="","",IF(AND(Agendamento!$C$3="",Agendamento!$C$7&lt;&gt;""),IF(Agendamento!$C$7='Base de Dados'!E647,"x",""),IF(AND(Agendamento!$C$3&lt;&gt;"",Agendamento!$C$7=""),IF(Agendamento!$C$3='Base de Dados'!A647,"x",""),IF(AND(Agendamento!$C$3='Base de Dados'!A647,'Base de Dados'!E647=Agendamento!$C$7),"x",""))))</f>
        <v/>
      </c>
      <c r="I647" s="13" t="str">
        <f>IF(H647="x",COUNT($I$1:I646)+1,"")</f>
        <v/>
      </c>
    </row>
    <row r="648" spans="1:9" x14ac:dyDescent="0.25">
      <c r="A648" s="27"/>
      <c r="B648" s="28"/>
      <c r="C648" s="29"/>
      <c r="D648" s="29"/>
      <c r="E648" s="28"/>
      <c r="F648" s="13" t="str">
        <f>IF(A648="","",IF(A648=Agendamento!$C$3,"x",""))</f>
        <v/>
      </c>
      <c r="G648" s="13" t="str">
        <f>IF(A648="","",IF(E648=Agendamento!$C$7,"x",""))</f>
        <v/>
      </c>
      <c r="H648" s="13" t="str">
        <f>IF(A648="","",IF(AND(Agendamento!$C$3="",Agendamento!$C$7&lt;&gt;""),IF(Agendamento!$C$7='Base de Dados'!E648,"x",""),IF(AND(Agendamento!$C$3&lt;&gt;"",Agendamento!$C$7=""),IF(Agendamento!$C$3='Base de Dados'!A648,"x",""),IF(AND(Agendamento!$C$3='Base de Dados'!A648,'Base de Dados'!E648=Agendamento!$C$7),"x",""))))</f>
        <v/>
      </c>
      <c r="I648" s="13" t="str">
        <f>IF(H648="x",COUNT($I$1:I647)+1,"")</f>
        <v/>
      </c>
    </row>
    <row r="649" spans="1:9" x14ac:dyDescent="0.25">
      <c r="A649" s="27"/>
      <c r="B649" s="28"/>
      <c r="C649" s="29"/>
      <c r="D649" s="29"/>
      <c r="E649" s="28"/>
      <c r="F649" s="13" t="str">
        <f>IF(A649="","",IF(A649=Agendamento!$C$3,"x",""))</f>
        <v/>
      </c>
      <c r="G649" s="13" t="str">
        <f>IF(A649="","",IF(E649=Agendamento!$C$7,"x",""))</f>
        <v/>
      </c>
      <c r="H649" s="13" t="str">
        <f>IF(A649="","",IF(AND(Agendamento!$C$3="",Agendamento!$C$7&lt;&gt;""),IF(Agendamento!$C$7='Base de Dados'!E649,"x",""),IF(AND(Agendamento!$C$3&lt;&gt;"",Agendamento!$C$7=""),IF(Agendamento!$C$3='Base de Dados'!A649,"x",""),IF(AND(Agendamento!$C$3='Base de Dados'!A649,'Base de Dados'!E649=Agendamento!$C$7),"x",""))))</f>
        <v/>
      </c>
      <c r="I649" s="13" t="str">
        <f>IF(H649="x",COUNT($I$1:I648)+1,"")</f>
        <v/>
      </c>
    </row>
    <row r="650" spans="1:9" x14ac:dyDescent="0.25">
      <c r="A650" s="27"/>
      <c r="B650" s="28"/>
      <c r="C650" s="29"/>
      <c r="D650" s="29"/>
      <c r="E650" s="28"/>
      <c r="F650" s="13" t="str">
        <f>IF(A650="","",IF(A650=Agendamento!$C$3,"x",""))</f>
        <v/>
      </c>
      <c r="G650" s="13" t="str">
        <f>IF(A650="","",IF(E650=Agendamento!$C$7,"x",""))</f>
        <v/>
      </c>
      <c r="H650" s="13" t="str">
        <f>IF(A650="","",IF(AND(Agendamento!$C$3="",Agendamento!$C$7&lt;&gt;""),IF(Agendamento!$C$7='Base de Dados'!E650,"x",""),IF(AND(Agendamento!$C$3&lt;&gt;"",Agendamento!$C$7=""),IF(Agendamento!$C$3='Base de Dados'!A650,"x",""),IF(AND(Agendamento!$C$3='Base de Dados'!A650,'Base de Dados'!E650=Agendamento!$C$7),"x",""))))</f>
        <v/>
      </c>
      <c r="I650" s="13" t="str">
        <f>IF(H650="x",COUNT($I$1:I649)+1,"")</f>
        <v/>
      </c>
    </row>
    <row r="651" spans="1:9" x14ac:dyDescent="0.25">
      <c r="A651" s="27"/>
      <c r="B651" s="28"/>
      <c r="C651" s="29"/>
      <c r="D651" s="29"/>
      <c r="E651" s="28"/>
      <c r="F651" s="13" t="str">
        <f>IF(A651="","",IF(A651=Agendamento!$C$3,"x",""))</f>
        <v/>
      </c>
      <c r="G651" s="13" t="str">
        <f>IF(A651="","",IF(E651=Agendamento!$C$7,"x",""))</f>
        <v/>
      </c>
      <c r="H651" s="13" t="str">
        <f>IF(A651="","",IF(AND(Agendamento!$C$3="",Agendamento!$C$7&lt;&gt;""),IF(Agendamento!$C$7='Base de Dados'!E651,"x",""),IF(AND(Agendamento!$C$3&lt;&gt;"",Agendamento!$C$7=""),IF(Agendamento!$C$3='Base de Dados'!A651,"x",""),IF(AND(Agendamento!$C$3='Base de Dados'!A651,'Base de Dados'!E651=Agendamento!$C$7),"x",""))))</f>
        <v/>
      </c>
      <c r="I651" s="13" t="str">
        <f>IF(H651="x",COUNT($I$1:I650)+1,"")</f>
        <v/>
      </c>
    </row>
    <row r="652" spans="1:9" x14ac:dyDescent="0.25">
      <c r="A652" s="27"/>
      <c r="B652" s="28"/>
      <c r="C652" s="29"/>
      <c r="D652" s="29"/>
      <c r="E652" s="28"/>
      <c r="F652" s="13" t="str">
        <f>IF(A652="","",IF(A652=Agendamento!$C$3,"x",""))</f>
        <v/>
      </c>
      <c r="G652" s="13" t="str">
        <f>IF(A652="","",IF(E652=Agendamento!$C$7,"x",""))</f>
        <v/>
      </c>
      <c r="H652" s="13" t="str">
        <f>IF(A652="","",IF(AND(Agendamento!$C$3="",Agendamento!$C$7&lt;&gt;""),IF(Agendamento!$C$7='Base de Dados'!E652,"x",""),IF(AND(Agendamento!$C$3&lt;&gt;"",Agendamento!$C$7=""),IF(Agendamento!$C$3='Base de Dados'!A652,"x",""),IF(AND(Agendamento!$C$3='Base de Dados'!A652,'Base de Dados'!E652=Agendamento!$C$7),"x",""))))</f>
        <v/>
      </c>
      <c r="I652" s="13" t="str">
        <f>IF(H652="x",COUNT($I$1:I651)+1,"")</f>
        <v/>
      </c>
    </row>
    <row r="653" spans="1:9" x14ac:dyDescent="0.25">
      <c r="A653" s="27"/>
      <c r="B653" s="28"/>
      <c r="C653" s="29"/>
      <c r="D653" s="29"/>
      <c r="E653" s="28"/>
      <c r="F653" s="13" t="str">
        <f>IF(A653="","",IF(A653=Agendamento!$C$3,"x",""))</f>
        <v/>
      </c>
      <c r="G653" s="13" t="str">
        <f>IF(A653="","",IF(E653=Agendamento!$C$7,"x",""))</f>
        <v/>
      </c>
      <c r="H653" s="13" t="str">
        <f>IF(A653="","",IF(AND(Agendamento!$C$3="",Agendamento!$C$7&lt;&gt;""),IF(Agendamento!$C$7='Base de Dados'!E653,"x",""),IF(AND(Agendamento!$C$3&lt;&gt;"",Agendamento!$C$7=""),IF(Agendamento!$C$3='Base de Dados'!A653,"x",""),IF(AND(Agendamento!$C$3='Base de Dados'!A653,'Base de Dados'!E653=Agendamento!$C$7),"x",""))))</f>
        <v/>
      </c>
      <c r="I653" s="13" t="str">
        <f>IF(H653="x",COUNT($I$1:I652)+1,"")</f>
        <v/>
      </c>
    </row>
    <row r="654" spans="1:9" x14ac:dyDescent="0.25">
      <c r="A654" s="27"/>
      <c r="B654" s="28"/>
      <c r="C654" s="29"/>
      <c r="D654" s="29"/>
      <c r="E654" s="28"/>
      <c r="F654" s="13" t="str">
        <f>IF(A654="","",IF(A654=Agendamento!$C$3,"x",""))</f>
        <v/>
      </c>
      <c r="G654" s="13" t="str">
        <f>IF(A654="","",IF(E654=Agendamento!$C$7,"x",""))</f>
        <v/>
      </c>
      <c r="H654" s="13" t="str">
        <f>IF(A654="","",IF(AND(Agendamento!$C$3="",Agendamento!$C$7&lt;&gt;""),IF(Agendamento!$C$7='Base de Dados'!E654,"x",""),IF(AND(Agendamento!$C$3&lt;&gt;"",Agendamento!$C$7=""),IF(Agendamento!$C$3='Base de Dados'!A654,"x",""),IF(AND(Agendamento!$C$3='Base de Dados'!A654,'Base de Dados'!E654=Agendamento!$C$7),"x",""))))</f>
        <v/>
      </c>
      <c r="I654" s="13" t="str">
        <f>IF(H654="x",COUNT($I$1:I653)+1,"")</f>
        <v/>
      </c>
    </row>
    <row r="655" spans="1:9" x14ac:dyDescent="0.25">
      <c r="A655" s="27"/>
      <c r="B655" s="28"/>
      <c r="C655" s="29"/>
      <c r="D655" s="29"/>
      <c r="E655" s="28"/>
      <c r="F655" s="13" t="str">
        <f>IF(A655="","",IF(A655=Agendamento!$C$3,"x",""))</f>
        <v/>
      </c>
      <c r="G655" s="13" t="str">
        <f>IF(A655="","",IF(E655=Agendamento!$C$7,"x",""))</f>
        <v/>
      </c>
      <c r="H655" s="13" t="str">
        <f>IF(A655="","",IF(AND(Agendamento!$C$3="",Agendamento!$C$7&lt;&gt;""),IF(Agendamento!$C$7='Base de Dados'!E655,"x",""),IF(AND(Agendamento!$C$3&lt;&gt;"",Agendamento!$C$7=""),IF(Agendamento!$C$3='Base de Dados'!A655,"x",""),IF(AND(Agendamento!$C$3='Base de Dados'!A655,'Base de Dados'!E655=Agendamento!$C$7),"x",""))))</f>
        <v/>
      </c>
      <c r="I655" s="13" t="str">
        <f>IF(H655="x",COUNT($I$1:I654)+1,"")</f>
        <v/>
      </c>
    </row>
    <row r="656" spans="1:9" x14ac:dyDescent="0.25">
      <c r="A656" s="27"/>
      <c r="B656" s="28"/>
      <c r="C656" s="29"/>
      <c r="D656" s="29"/>
      <c r="E656" s="28"/>
      <c r="F656" s="13" t="str">
        <f>IF(A656="","",IF(A656=Agendamento!$C$3,"x",""))</f>
        <v/>
      </c>
      <c r="G656" s="13" t="str">
        <f>IF(A656="","",IF(E656=Agendamento!$C$7,"x",""))</f>
        <v/>
      </c>
      <c r="H656" s="13" t="str">
        <f>IF(A656="","",IF(AND(Agendamento!$C$3="",Agendamento!$C$7&lt;&gt;""),IF(Agendamento!$C$7='Base de Dados'!E656,"x",""),IF(AND(Agendamento!$C$3&lt;&gt;"",Agendamento!$C$7=""),IF(Agendamento!$C$3='Base de Dados'!A656,"x",""),IF(AND(Agendamento!$C$3='Base de Dados'!A656,'Base de Dados'!E656=Agendamento!$C$7),"x",""))))</f>
        <v/>
      </c>
      <c r="I656" s="13" t="str">
        <f>IF(H656="x",COUNT($I$1:I655)+1,"")</f>
        <v/>
      </c>
    </row>
    <row r="657" spans="1:9" x14ac:dyDescent="0.25">
      <c r="A657" s="27"/>
      <c r="B657" s="28"/>
      <c r="C657" s="29"/>
      <c r="D657" s="29"/>
      <c r="E657" s="28"/>
      <c r="F657" s="13" t="str">
        <f>IF(A657="","",IF(A657=Agendamento!$C$3,"x",""))</f>
        <v/>
      </c>
      <c r="G657" s="13" t="str">
        <f>IF(A657="","",IF(E657=Agendamento!$C$7,"x",""))</f>
        <v/>
      </c>
      <c r="H657" s="13" t="str">
        <f>IF(A657="","",IF(AND(Agendamento!$C$3="",Agendamento!$C$7&lt;&gt;""),IF(Agendamento!$C$7='Base de Dados'!E657,"x",""),IF(AND(Agendamento!$C$3&lt;&gt;"",Agendamento!$C$7=""),IF(Agendamento!$C$3='Base de Dados'!A657,"x",""),IF(AND(Agendamento!$C$3='Base de Dados'!A657,'Base de Dados'!E657=Agendamento!$C$7),"x",""))))</f>
        <v/>
      </c>
      <c r="I657" s="13" t="str">
        <f>IF(H657="x",COUNT($I$1:I656)+1,"")</f>
        <v/>
      </c>
    </row>
    <row r="658" spans="1:9" x14ac:dyDescent="0.25">
      <c r="A658" s="27"/>
      <c r="B658" s="28"/>
      <c r="C658" s="29"/>
      <c r="D658" s="29"/>
      <c r="E658" s="28"/>
      <c r="F658" s="13" t="str">
        <f>IF(A658="","",IF(A658=Agendamento!$C$3,"x",""))</f>
        <v/>
      </c>
      <c r="G658" s="13" t="str">
        <f>IF(A658="","",IF(E658=Agendamento!$C$7,"x",""))</f>
        <v/>
      </c>
      <c r="H658" s="13" t="str">
        <f>IF(A658="","",IF(AND(Agendamento!$C$3="",Agendamento!$C$7&lt;&gt;""),IF(Agendamento!$C$7='Base de Dados'!E658,"x",""),IF(AND(Agendamento!$C$3&lt;&gt;"",Agendamento!$C$7=""),IF(Agendamento!$C$3='Base de Dados'!A658,"x",""),IF(AND(Agendamento!$C$3='Base de Dados'!A658,'Base de Dados'!E658=Agendamento!$C$7),"x",""))))</f>
        <v/>
      </c>
      <c r="I658" s="13" t="str">
        <f>IF(H658="x",COUNT($I$1:I657)+1,"")</f>
        <v/>
      </c>
    </row>
    <row r="659" spans="1:9" x14ac:dyDescent="0.25">
      <c r="A659" s="27"/>
      <c r="B659" s="28"/>
      <c r="C659" s="29"/>
      <c r="D659" s="29"/>
      <c r="E659" s="28"/>
      <c r="F659" s="13" t="str">
        <f>IF(A659="","",IF(A659=Agendamento!$C$3,"x",""))</f>
        <v/>
      </c>
      <c r="G659" s="13" t="str">
        <f>IF(A659="","",IF(E659=Agendamento!$C$7,"x",""))</f>
        <v/>
      </c>
      <c r="H659" s="13" t="str">
        <f>IF(A659="","",IF(AND(Agendamento!$C$3="",Agendamento!$C$7&lt;&gt;""),IF(Agendamento!$C$7='Base de Dados'!E659,"x",""),IF(AND(Agendamento!$C$3&lt;&gt;"",Agendamento!$C$7=""),IF(Agendamento!$C$3='Base de Dados'!A659,"x",""),IF(AND(Agendamento!$C$3='Base de Dados'!A659,'Base de Dados'!E659=Agendamento!$C$7),"x",""))))</f>
        <v/>
      </c>
      <c r="I659" s="13" t="str">
        <f>IF(H659="x",COUNT($I$1:I658)+1,"")</f>
        <v/>
      </c>
    </row>
    <row r="660" spans="1:9" x14ac:dyDescent="0.25">
      <c r="A660" s="27"/>
      <c r="B660" s="28"/>
      <c r="C660" s="29"/>
      <c r="D660" s="29"/>
      <c r="E660" s="28"/>
      <c r="F660" s="13" t="str">
        <f>IF(A660="","",IF(A660=Agendamento!$C$3,"x",""))</f>
        <v/>
      </c>
      <c r="G660" s="13" t="str">
        <f>IF(A660="","",IF(E660=Agendamento!$C$7,"x",""))</f>
        <v/>
      </c>
      <c r="H660" s="13" t="str">
        <f>IF(A660="","",IF(AND(Agendamento!$C$3="",Agendamento!$C$7&lt;&gt;""),IF(Agendamento!$C$7='Base de Dados'!E660,"x",""),IF(AND(Agendamento!$C$3&lt;&gt;"",Agendamento!$C$7=""),IF(Agendamento!$C$3='Base de Dados'!A660,"x",""),IF(AND(Agendamento!$C$3='Base de Dados'!A660,'Base de Dados'!E660=Agendamento!$C$7),"x",""))))</f>
        <v/>
      </c>
      <c r="I660" s="13" t="str">
        <f>IF(H660="x",COUNT($I$1:I659)+1,"")</f>
        <v/>
      </c>
    </row>
    <row r="661" spans="1:9" x14ac:dyDescent="0.25">
      <c r="A661" s="27"/>
      <c r="B661" s="28"/>
      <c r="C661" s="29"/>
      <c r="D661" s="29"/>
      <c r="E661" s="28"/>
      <c r="F661" s="13" t="str">
        <f>IF(A661="","",IF(A661=Agendamento!$C$3,"x",""))</f>
        <v/>
      </c>
      <c r="G661" s="13" t="str">
        <f>IF(A661="","",IF(E661=Agendamento!$C$7,"x",""))</f>
        <v/>
      </c>
      <c r="H661" s="13" t="str">
        <f>IF(A661="","",IF(AND(Agendamento!$C$3="",Agendamento!$C$7&lt;&gt;""),IF(Agendamento!$C$7='Base de Dados'!E661,"x",""),IF(AND(Agendamento!$C$3&lt;&gt;"",Agendamento!$C$7=""),IF(Agendamento!$C$3='Base de Dados'!A661,"x",""),IF(AND(Agendamento!$C$3='Base de Dados'!A661,'Base de Dados'!E661=Agendamento!$C$7),"x",""))))</f>
        <v/>
      </c>
      <c r="I661" s="13" t="str">
        <f>IF(H661="x",COUNT($I$1:I660)+1,"")</f>
        <v/>
      </c>
    </row>
    <row r="662" spans="1:9" x14ac:dyDescent="0.25">
      <c r="A662" s="27"/>
      <c r="B662" s="28"/>
      <c r="C662" s="29"/>
      <c r="D662" s="29"/>
      <c r="E662" s="28"/>
      <c r="F662" s="13" t="str">
        <f>IF(A662="","",IF(A662=Agendamento!$C$3,"x",""))</f>
        <v/>
      </c>
      <c r="G662" s="13" t="str">
        <f>IF(A662="","",IF(E662=Agendamento!$C$7,"x",""))</f>
        <v/>
      </c>
      <c r="H662" s="13" t="str">
        <f>IF(A662="","",IF(AND(Agendamento!$C$3="",Agendamento!$C$7&lt;&gt;""),IF(Agendamento!$C$7='Base de Dados'!E662,"x",""),IF(AND(Agendamento!$C$3&lt;&gt;"",Agendamento!$C$7=""),IF(Agendamento!$C$3='Base de Dados'!A662,"x",""),IF(AND(Agendamento!$C$3='Base de Dados'!A662,'Base de Dados'!E662=Agendamento!$C$7),"x",""))))</f>
        <v/>
      </c>
      <c r="I662" s="13" t="str">
        <f>IF(H662="x",COUNT($I$1:I661)+1,"")</f>
        <v/>
      </c>
    </row>
    <row r="663" spans="1:9" x14ac:dyDescent="0.25">
      <c r="A663" s="27"/>
      <c r="B663" s="28"/>
      <c r="C663" s="29"/>
      <c r="D663" s="29"/>
      <c r="E663" s="28"/>
      <c r="F663" s="13" t="str">
        <f>IF(A663="","",IF(A663=Agendamento!$C$3,"x",""))</f>
        <v/>
      </c>
      <c r="G663" s="13" t="str">
        <f>IF(A663="","",IF(E663=Agendamento!$C$7,"x",""))</f>
        <v/>
      </c>
      <c r="H663" s="13" t="str">
        <f>IF(A663="","",IF(AND(Agendamento!$C$3="",Agendamento!$C$7&lt;&gt;""),IF(Agendamento!$C$7='Base de Dados'!E663,"x",""),IF(AND(Agendamento!$C$3&lt;&gt;"",Agendamento!$C$7=""),IF(Agendamento!$C$3='Base de Dados'!A663,"x",""),IF(AND(Agendamento!$C$3='Base de Dados'!A663,'Base de Dados'!E663=Agendamento!$C$7),"x",""))))</f>
        <v/>
      </c>
      <c r="I663" s="13" t="str">
        <f>IF(H663="x",COUNT($I$1:I662)+1,"")</f>
        <v/>
      </c>
    </row>
    <row r="664" spans="1:9" x14ac:dyDescent="0.25">
      <c r="A664" s="27"/>
      <c r="B664" s="28"/>
      <c r="C664" s="29"/>
      <c r="D664" s="29"/>
      <c r="E664" s="28"/>
      <c r="F664" s="13" t="str">
        <f>IF(A664="","",IF(A664=Agendamento!$C$3,"x",""))</f>
        <v/>
      </c>
      <c r="G664" s="13" t="str">
        <f>IF(A664="","",IF(E664=Agendamento!$C$7,"x",""))</f>
        <v/>
      </c>
      <c r="H664" s="13" t="str">
        <f>IF(A664="","",IF(AND(Agendamento!$C$3="",Agendamento!$C$7&lt;&gt;""),IF(Agendamento!$C$7='Base de Dados'!E664,"x",""),IF(AND(Agendamento!$C$3&lt;&gt;"",Agendamento!$C$7=""),IF(Agendamento!$C$3='Base de Dados'!A664,"x",""),IF(AND(Agendamento!$C$3='Base de Dados'!A664,'Base de Dados'!E664=Agendamento!$C$7),"x",""))))</f>
        <v/>
      </c>
      <c r="I664" s="13" t="str">
        <f>IF(H664="x",COUNT($I$1:I663)+1,"")</f>
        <v/>
      </c>
    </row>
    <row r="665" spans="1:9" x14ac:dyDescent="0.25">
      <c r="A665" s="27"/>
      <c r="B665" s="28"/>
      <c r="C665" s="29"/>
      <c r="D665" s="29"/>
      <c r="E665" s="28"/>
      <c r="F665" s="13" t="str">
        <f>IF(A665="","",IF(A665=Agendamento!$C$3,"x",""))</f>
        <v/>
      </c>
      <c r="G665" s="13" t="str">
        <f>IF(A665="","",IF(E665=Agendamento!$C$7,"x",""))</f>
        <v/>
      </c>
      <c r="H665" s="13" t="str">
        <f>IF(A665="","",IF(AND(Agendamento!$C$3="",Agendamento!$C$7&lt;&gt;""),IF(Agendamento!$C$7='Base de Dados'!E665,"x",""),IF(AND(Agendamento!$C$3&lt;&gt;"",Agendamento!$C$7=""),IF(Agendamento!$C$3='Base de Dados'!A665,"x",""),IF(AND(Agendamento!$C$3='Base de Dados'!A665,'Base de Dados'!E665=Agendamento!$C$7),"x",""))))</f>
        <v/>
      </c>
      <c r="I665" s="13" t="str">
        <f>IF(H665="x",COUNT($I$1:I664)+1,"")</f>
        <v/>
      </c>
    </row>
    <row r="666" spans="1:9" x14ac:dyDescent="0.25">
      <c r="A666" s="27"/>
      <c r="B666" s="28"/>
      <c r="C666" s="29"/>
      <c r="D666" s="29"/>
      <c r="E666" s="28"/>
      <c r="F666" s="13" t="str">
        <f>IF(A666="","",IF(A666=Agendamento!$C$3,"x",""))</f>
        <v/>
      </c>
      <c r="G666" s="13" t="str">
        <f>IF(A666="","",IF(E666=Agendamento!$C$7,"x",""))</f>
        <v/>
      </c>
      <c r="H666" s="13" t="str">
        <f>IF(A666="","",IF(AND(Agendamento!$C$3="",Agendamento!$C$7&lt;&gt;""),IF(Agendamento!$C$7='Base de Dados'!E666,"x",""),IF(AND(Agendamento!$C$3&lt;&gt;"",Agendamento!$C$7=""),IF(Agendamento!$C$3='Base de Dados'!A666,"x",""),IF(AND(Agendamento!$C$3='Base de Dados'!A666,'Base de Dados'!E666=Agendamento!$C$7),"x",""))))</f>
        <v/>
      </c>
      <c r="I666" s="13" t="str">
        <f>IF(H666="x",COUNT($I$1:I665)+1,"")</f>
        <v/>
      </c>
    </row>
    <row r="667" spans="1:9" x14ac:dyDescent="0.25">
      <c r="A667" s="27"/>
      <c r="B667" s="28"/>
      <c r="C667" s="29"/>
      <c r="D667" s="29"/>
      <c r="E667" s="28"/>
      <c r="F667" s="13" t="str">
        <f>IF(A667="","",IF(A667=Agendamento!$C$3,"x",""))</f>
        <v/>
      </c>
      <c r="G667" s="13" t="str">
        <f>IF(A667="","",IF(E667=Agendamento!$C$7,"x",""))</f>
        <v/>
      </c>
      <c r="H667" s="13" t="str">
        <f>IF(A667="","",IF(AND(Agendamento!$C$3="",Agendamento!$C$7&lt;&gt;""),IF(Agendamento!$C$7='Base de Dados'!E667,"x",""),IF(AND(Agendamento!$C$3&lt;&gt;"",Agendamento!$C$7=""),IF(Agendamento!$C$3='Base de Dados'!A667,"x",""),IF(AND(Agendamento!$C$3='Base de Dados'!A667,'Base de Dados'!E667=Agendamento!$C$7),"x",""))))</f>
        <v/>
      </c>
      <c r="I667" s="13" t="str">
        <f>IF(H667="x",COUNT($I$1:I666)+1,"")</f>
        <v/>
      </c>
    </row>
    <row r="668" spans="1:9" x14ac:dyDescent="0.25">
      <c r="A668" s="27"/>
      <c r="B668" s="28"/>
      <c r="C668" s="29"/>
      <c r="D668" s="29"/>
      <c r="E668" s="28"/>
      <c r="F668" s="13" t="str">
        <f>IF(A668="","",IF(A668=Agendamento!$C$3,"x",""))</f>
        <v/>
      </c>
      <c r="G668" s="13" t="str">
        <f>IF(A668="","",IF(E668=Agendamento!$C$7,"x",""))</f>
        <v/>
      </c>
      <c r="H668" s="13" t="str">
        <f>IF(A668="","",IF(AND(Agendamento!$C$3="",Agendamento!$C$7&lt;&gt;""),IF(Agendamento!$C$7='Base de Dados'!E668,"x",""),IF(AND(Agendamento!$C$3&lt;&gt;"",Agendamento!$C$7=""),IF(Agendamento!$C$3='Base de Dados'!A668,"x",""),IF(AND(Agendamento!$C$3='Base de Dados'!A668,'Base de Dados'!E668=Agendamento!$C$7),"x",""))))</f>
        <v/>
      </c>
      <c r="I668" s="13" t="str">
        <f>IF(H668="x",COUNT($I$1:I667)+1,"")</f>
        <v/>
      </c>
    </row>
    <row r="669" spans="1:9" x14ac:dyDescent="0.25">
      <c r="A669" s="27"/>
      <c r="B669" s="28"/>
      <c r="C669" s="29"/>
      <c r="D669" s="29"/>
      <c r="E669" s="28"/>
      <c r="F669" s="13" t="str">
        <f>IF(A669="","",IF(A669=Agendamento!$C$3,"x",""))</f>
        <v/>
      </c>
      <c r="G669" s="13" t="str">
        <f>IF(A669="","",IF(E669=Agendamento!$C$7,"x",""))</f>
        <v/>
      </c>
      <c r="H669" s="13" t="str">
        <f>IF(A669="","",IF(AND(Agendamento!$C$3="",Agendamento!$C$7&lt;&gt;""),IF(Agendamento!$C$7='Base de Dados'!E669,"x",""),IF(AND(Agendamento!$C$3&lt;&gt;"",Agendamento!$C$7=""),IF(Agendamento!$C$3='Base de Dados'!A669,"x",""),IF(AND(Agendamento!$C$3='Base de Dados'!A669,'Base de Dados'!E669=Agendamento!$C$7),"x",""))))</f>
        <v/>
      </c>
      <c r="I669" s="13" t="str">
        <f>IF(H669="x",COUNT($I$1:I668)+1,"")</f>
        <v/>
      </c>
    </row>
    <row r="670" spans="1:9" x14ac:dyDescent="0.25">
      <c r="A670" s="27"/>
      <c r="B670" s="28"/>
      <c r="C670" s="29"/>
      <c r="D670" s="29"/>
      <c r="E670" s="28"/>
      <c r="F670" s="13" t="str">
        <f>IF(A670="","",IF(A670=Agendamento!$C$3,"x",""))</f>
        <v/>
      </c>
      <c r="G670" s="13" t="str">
        <f>IF(A670="","",IF(E670=Agendamento!$C$7,"x",""))</f>
        <v/>
      </c>
      <c r="H670" s="13" t="str">
        <f>IF(A670="","",IF(AND(Agendamento!$C$3="",Agendamento!$C$7&lt;&gt;""),IF(Agendamento!$C$7='Base de Dados'!E670,"x",""),IF(AND(Agendamento!$C$3&lt;&gt;"",Agendamento!$C$7=""),IF(Agendamento!$C$3='Base de Dados'!A670,"x",""),IF(AND(Agendamento!$C$3='Base de Dados'!A670,'Base de Dados'!E670=Agendamento!$C$7),"x",""))))</f>
        <v/>
      </c>
      <c r="I670" s="13" t="str">
        <f>IF(H670="x",COUNT($I$1:I669)+1,"")</f>
        <v/>
      </c>
    </row>
    <row r="671" spans="1:9" x14ac:dyDescent="0.25">
      <c r="A671" s="27"/>
      <c r="B671" s="28"/>
      <c r="C671" s="29"/>
      <c r="D671" s="29"/>
      <c r="E671" s="28"/>
      <c r="F671" s="13" t="str">
        <f>IF(A671="","",IF(A671=Agendamento!$C$3,"x",""))</f>
        <v/>
      </c>
      <c r="G671" s="13" t="str">
        <f>IF(A671="","",IF(E671=Agendamento!$C$7,"x",""))</f>
        <v/>
      </c>
      <c r="H671" s="13" t="str">
        <f>IF(A671="","",IF(AND(Agendamento!$C$3="",Agendamento!$C$7&lt;&gt;""),IF(Agendamento!$C$7='Base de Dados'!E671,"x",""),IF(AND(Agendamento!$C$3&lt;&gt;"",Agendamento!$C$7=""),IF(Agendamento!$C$3='Base de Dados'!A671,"x",""),IF(AND(Agendamento!$C$3='Base de Dados'!A671,'Base de Dados'!E671=Agendamento!$C$7),"x",""))))</f>
        <v/>
      </c>
      <c r="I671" s="13" t="str">
        <f>IF(H671="x",COUNT($I$1:I670)+1,"")</f>
        <v/>
      </c>
    </row>
    <row r="672" spans="1:9" x14ac:dyDescent="0.25">
      <c r="A672" s="27"/>
      <c r="B672" s="28"/>
      <c r="C672" s="29"/>
      <c r="D672" s="29"/>
      <c r="E672" s="28"/>
      <c r="F672" s="13" t="str">
        <f>IF(A672="","",IF(A672=Agendamento!$C$3,"x",""))</f>
        <v/>
      </c>
      <c r="G672" s="13" t="str">
        <f>IF(A672="","",IF(E672=Agendamento!$C$7,"x",""))</f>
        <v/>
      </c>
      <c r="H672" s="13" t="str">
        <f>IF(A672="","",IF(AND(Agendamento!$C$3="",Agendamento!$C$7&lt;&gt;""),IF(Agendamento!$C$7='Base de Dados'!E672,"x",""),IF(AND(Agendamento!$C$3&lt;&gt;"",Agendamento!$C$7=""),IF(Agendamento!$C$3='Base de Dados'!A672,"x",""),IF(AND(Agendamento!$C$3='Base de Dados'!A672,'Base de Dados'!E672=Agendamento!$C$7),"x",""))))</f>
        <v/>
      </c>
      <c r="I672" s="13" t="str">
        <f>IF(H672="x",COUNT($I$1:I671)+1,"")</f>
        <v/>
      </c>
    </row>
    <row r="673" spans="1:9" x14ac:dyDescent="0.25">
      <c r="A673" s="27"/>
      <c r="B673" s="28"/>
      <c r="C673" s="29"/>
      <c r="D673" s="29"/>
      <c r="E673" s="28"/>
      <c r="F673" s="13" t="str">
        <f>IF(A673="","",IF(A673=Agendamento!$C$3,"x",""))</f>
        <v/>
      </c>
      <c r="G673" s="13" t="str">
        <f>IF(A673="","",IF(E673=Agendamento!$C$7,"x",""))</f>
        <v/>
      </c>
      <c r="H673" s="13" t="str">
        <f>IF(A673="","",IF(AND(Agendamento!$C$3="",Agendamento!$C$7&lt;&gt;""),IF(Agendamento!$C$7='Base de Dados'!E673,"x",""),IF(AND(Agendamento!$C$3&lt;&gt;"",Agendamento!$C$7=""),IF(Agendamento!$C$3='Base de Dados'!A673,"x",""),IF(AND(Agendamento!$C$3='Base de Dados'!A673,'Base de Dados'!E673=Agendamento!$C$7),"x",""))))</f>
        <v/>
      </c>
      <c r="I673" s="13" t="str">
        <f>IF(H673="x",COUNT($I$1:I672)+1,"")</f>
        <v/>
      </c>
    </row>
    <row r="674" spans="1:9" x14ac:dyDescent="0.25">
      <c r="A674" s="27"/>
      <c r="B674" s="28"/>
      <c r="C674" s="29"/>
      <c r="D674" s="29"/>
      <c r="E674" s="28"/>
      <c r="F674" s="13" t="str">
        <f>IF(A674="","",IF(A674=Agendamento!$C$3,"x",""))</f>
        <v/>
      </c>
      <c r="G674" s="13" t="str">
        <f>IF(A674="","",IF(E674=Agendamento!$C$7,"x",""))</f>
        <v/>
      </c>
      <c r="H674" s="13" t="str">
        <f>IF(A674="","",IF(AND(Agendamento!$C$3="",Agendamento!$C$7&lt;&gt;""),IF(Agendamento!$C$7='Base de Dados'!E674,"x",""),IF(AND(Agendamento!$C$3&lt;&gt;"",Agendamento!$C$7=""),IF(Agendamento!$C$3='Base de Dados'!A674,"x",""),IF(AND(Agendamento!$C$3='Base de Dados'!A674,'Base de Dados'!E674=Agendamento!$C$7),"x",""))))</f>
        <v/>
      </c>
      <c r="I674" s="13" t="str">
        <f>IF(H674="x",COUNT($I$1:I673)+1,"")</f>
        <v/>
      </c>
    </row>
    <row r="675" spans="1:9" x14ac:dyDescent="0.25">
      <c r="A675" s="27"/>
      <c r="B675" s="28"/>
      <c r="C675" s="29"/>
      <c r="D675" s="29"/>
      <c r="E675" s="28"/>
      <c r="F675" s="13" t="str">
        <f>IF(A675="","",IF(A675=Agendamento!$C$3,"x",""))</f>
        <v/>
      </c>
      <c r="G675" s="13" t="str">
        <f>IF(A675="","",IF(E675=Agendamento!$C$7,"x",""))</f>
        <v/>
      </c>
      <c r="H675" s="13" t="str">
        <f>IF(A675="","",IF(AND(Agendamento!$C$3="",Agendamento!$C$7&lt;&gt;""),IF(Agendamento!$C$7='Base de Dados'!E675,"x",""),IF(AND(Agendamento!$C$3&lt;&gt;"",Agendamento!$C$7=""),IF(Agendamento!$C$3='Base de Dados'!A675,"x",""),IF(AND(Agendamento!$C$3='Base de Dados'!A675,'Base de Dados'!E675=Agendamento!$C$7),"x",""))))</f>
        <v/>
      </c>
      <c r="I675" s="13" t="str">
        <f>IF(H675="x",COUNT($I$1:I674)+1,"")</f>
        <v/>
      </c>
    </row>
    <row r="676" spans="1:9" x14ac:dyDescent="0.25">
      <c r="A676" s="27"/>
      <c r="B676" s="28"/>
      <c r="C676" s="29"/>
      <c r="D676" s="29"/>
      <c r="E676" s="28"/>
      <c r="F676" s="13" t="str">
        <f>IF(A676="","",IF(A676=Agendamento!$C$3,"x",""))</f>
        <v/>
      </c>
      <c r="G676" s="13" t="str">
        <f>IF(A676="","",IF(E676=Agendamento!$C$7,"x",""))</f>
        <v/>
      </c>
      <c r="H676" s="13" t="str">
        <f>IF(A676="","",IF(AND(Agendamento!$C$3="",Agendamento!$C$7&lt;&gt;""),IF(Agendamento!$C$7='Base de Dados'!E676,"x",""),IF(AND(Agendamento!$C$3&lt;&gt;"",Agendamento!$C$7=""),IF(Agendamento!$C$3='Base de Dados'!A676,"x",""),IF(AND(Agendamento!$C$3='Base de Dados'!A676,'Base de Dados'!E676=Agendamento!$C$7),"x",""))))</f>
        <v/>
      </c>
      <c r="I676" s="13" t="str">
        <f>IF(H676="x",COUNT($I$1:I675)+1,"")</f>
        <v/>
      </c>
    </row>
    <row r="677" spans="1:9" x14ac:dyDescent="0.25">
      <c r="A677" s="27"/>
      <c r="B677" s="28"/>
      <c r="C677" s="29"/>
      <c r="D677" s="29"/>
      <c r="E677" s="28"/>
      <c r="F677" s="13" t="str">
        <f>IF(A677="","",IF(A677=Agendamento!$C$3,"x",""))</f>
        <v/>
      </c>
      <c r="G677" s="13" t="str">
        <f>IF(A677="","",IF(E677=Agendamento!$C$7,"x",""))</f>
        <v/>
      </c>
      <c r="H677" s="13" t="str">
        <f>IF(A677="","",IF(AND(Agendamento!$C$3="",Agendamento!$C$7&lt;&gt;""),IF(Agendamento!$C$7='Base de Dados'!E677,"x",""),IF(AND(Agendamento!$C$3&lt;&gt;"",Agendamento!$C$7=""),IF(Agendamento!$C$3='Base de Dados'!A677,"x",""),IF(AND(Agendamento!$C$3='Base de Dados'!A677,'Base de Dados'!E677=Agendamento!$C$7),"x",""))))</f>
        <v/>
      </c>
      <c r="I677" s="13" t="str">
        <f>IF(H677="x",COUNT($I$1:I676)+1,"")</f>
        <v/>
      </c>
    </row>
    <row r="678" spans="1:9" x14ac:dyDescent="0.25">
      <c r="A678" s="27"/>
      <c r="B678" s="28"/>
      <c r="C678" s="29"/>
      <c r="D678" s="29"/>
      <c r="E678" s="28"/>
      <c r="F678" s="13" t="str">
        <f>IF(A678="","",IF(A678=Agendamento!$C$3,"x",""))</f>
        <v/>
      </c>
      <c r="G678" s="13" t="str">
        <f>IF(A678="","",IF(E678=Agendamento!$C$7,"x",""))</f>
        <v/>
      </c>
      <c r="H678" s="13" t="str">
        <f>IF(A678="","",IF(AND(Agendamento!$C$3="",Agendamento!$C$7&lt;&gt;""),IF(Agendamento!$C$7='Base de Dados'!E678,"x",""),IF(AND(Agendamento!$C$3&lt;&gt;"",Agendamento!$C$7=""),IF(Agendamento!$C$3='Base de Dados'!A678,"x",""),IF(AND(Agendamento!$C$3='Base de Dados'!A678,'Base de Dados'!E678=Agendamento!$C$7),"x",""))))</f>
        <v/>
      </c>
      <c r="I678" s="13" t="str">
        <f>IF(H678="x",COUNT($I$1:I677)+1,"")</f>
        <v/>
      </c>
    </row>
    <row r="679" spans="1:9" x14ac:dyDescent="0.25">
      <c r="A679" s="27"/>
      <c r="B679" s="28"/>
      <c r="C679" s="29"/>
      <c r="D679" s="29"/>
      <c r="E679" s="28"/>
      <c r="F679" s="13" t="str">
        <f>IF(A679="","",IF(A679=Agendamento!$C$3,"x",""))</f>
        <v/>
      </c>
      <c r="G679" s="13" t="str">
        <f>IF(A679="","",IF(E679=Agendamento!$C$7,"x",""))</f>
        <v/>
      </c>
      <c r="H679" s="13" t="str">
        <f>IF(A679="","",IF(AND(Agendamento!$C$3="",Agendamento!$C$7&lt;&gt;""),IF(Agendamento!$C$7='Base de Dados'!E679,"x",""),IF(AND(Agendamento!$C$3&lt;&gt;"",Agendamento!$C$7=""),IF(Agendamento!$C$3='Base de Dados'!A679,"x",""),IF(AND(Agendamento!$C$3='Base de Dados'!A679,'Base de Dados'!E679=Agendamento!$C$7),"x",""))))</f>
        <v/>
      </c>
      <c r="I679" s="13" t="str">
        <f>IF(H679="x",COUNT($I$1:I678)+1,"")</f>
        <v/>
      </c>
    </row>
    <row r="680" spans="1:9" x14ac:dyDescent="0.25">
      <c r="A680" s="27"/>
      <c r="B680" s="28"/>
      <c r="C680" s="29"/>
      <c r="D680" s="29"/>
      <c r="E680" s="28"/>
      <c r="F680" s="13" t="str">
        <f>IF(A680="","",IF(A680=Agendamento!$C$3,"x",""))</f>
        <v/>
      </c>
      <c r="G680" s="13" t="str">
        <f>IF(A680="","",IF(E680=Agendamento!$C$7,"x",""))</f>
        <v/>
      </c>
      <c r="H680" s="13" t="str">
        <f>IF(A680="","",IF(AND(Agendamento!$C$3="",Agendamento!$C$7&lt;&gt;""),IF(Agendamento!$C$7='Base de Dados'!E680,"x",""),IF(AND(Agendamento!$C$3&lt;&gt;"",Agendamento!$C$7=""),IF(Agendamento!$C$3='Base de Dados'!A680,"x",""),IF(AND(Agendamento!$C$3='Base de Dados'!A680,'Base de Dados'!E680=Agendamento!$C$7),"x",""))))</f>
        <v/>
      </c>
      <c r="I680" s="13" t="str">
        <f>IF(H680="x",COUNT($I$1:I679)+1,"")</f>
        <v/>
      </c>
    </row>
    <row r="681" spans="1:9" x14ac:dyDescent="0.25">
      <c r="A681" s="27"/>
      <c r="B681" s="28"/>
      <c r="C681" s="29"/>
      <c r="D681" s="29"/>
      <c r="E681" s="28"/>
      <c r="F681" s="13" t="str">
        <f>IF(A681="","",IF(A681=Agendamento!$C$3,"x",""))</f>
        <v/>
      </c>
      <c r="G681" s="13" t="str">
        <f>IF(A681="","",IF(E681=Agendamento!$C$7,"x",""))</f>
        <v/>
      </c>
      <c r="H681" s="13" t="str">
        <f>IF(A681="","",IF(AND(Agendamento!$C$3="",Agendamento!$C$7&lt;&gt;""),IF(Agendamento!$C$7='Base de Dados'!E681,"x",""),IF(AND(Agendamento!$C$3&lt;&gt;"",Agendamento!$C$7=""),IF(Agendamento!$C$3='Base de Dados'!A681,"x",""),IF(AND(Agendamento!$C$3='Base de Dados'!A681,'Base de Dados'!E681=Agendamento!$C$7),"x",""))))</f>
        <v/>
      </c>
      <c r="I681" s="13" t="str">
        <f>IF(H681="x",COUNT($I$1:I680)+1,"")</f>
        <v/>
      </c>
    </row>
    <row r="682" spans="1:9" x14ac:dyDescent="0.25">
      <c r="A682" s="27"/>
      <c r="B682" s="28"/>
      <c r="C682" s="29"/>
      <c r="D682" s="29"/>
      <c r="E682" s="28"/>
      <c r="F682" s="13" t="str">
        <f>IF(A682="","",IF(A682=Agendamento!$C$3,"x",""))</f>
        <v/>
      </c>
      <c r="G682" s="13" t="str">
        <f>IF(A682="","",IF(E682=Agendamento!$C$7,"x",""))</f>
        <v/>
      </c>
      <c r="H682" s="13" t="str">
        <f>IF(A682="","",IF(AND(Agendamento!$C$3="",Agendamento!$C$7&lt;&gt;""),IF(Agendamento!$C$7='Base de Dados'!E682,"x",""),IF(AND(Agendamento!$C$3&lt;&gt;"",Agendamento!$C$7=""),IF(Agendamento!$C$3='Base de Dados'!A682,"x",""),IF(AND(Agendamento!$C$3='Base de Dados'!A682,'Base de Dados'!E682=Agendamento!$C$7),"x",""))))</f>
        <v/>
      </c>
      <c r="I682" s="13" t="str">
        <f>IF(H682="x",COUNT($I$1:I681)+1,"")</f>
        <v/>
      </c>
    </row>
    <row r="683" spans="1:9" x14ac:dyDescent="0.25">
      <c r="A683" s="27"/>
      <c r="B683" s="28"/>
      <c r="C683" s="29"/>
      <c r="D683" s="29"/>
      <c r="E683" s="28"/>
      <c r="F683" s="13" t="str">
        <f>IF(A683="","",IF(A683=Agendamento!$C$3,"x",""))</f>
        <v/>
      </c>
      <c r="G683" s="13" t="str">
        <f>IF(A683="","",IF(E683=Agendamento!$C$7,"x",""))</f>
        <v/>
      </c>
      <c r="H683" s="13" t="str">
        <f>IF(A683="","",IF(AND(Agendamento!$C$3="",Agendamento!$C$7&lt;&gt;""),IF(Agendamento!$C$7='Base de Dados'!E683,"x",""),IF(AND(Agendamento!$C$3&lt;&gt;"",Agendamento!$C$7=""),IF(Agendamento!$C$3='Base de Dados'!A683,"x",""),IF(AND(Agendamento!$C$3='Base de Dados'!A683,'Base de Dados'!E683=Agendamento!$C$7),"x",""))))</f>
        <v/>
      </c>
      <c r="I683" s="13" t="str">
        <f>IF(H683="x",COUNT($I$1:I682)+1,"")</f>
        <v/>
      </c>
    </row>
    <row r="684" spans="1:9" x14ac:dyDescent="0.25">
      <c r="A684" s="27"/>
      <c r="B684" s="28"/>
      <c r="C684" s="29"/>
      <c r="D684" s="29"/>
      <c r="E684" s="28"/>
      <c r="F684" s="13" t="str">
        <f>IF(A684="","",IF(A684=Agendamento!$C$3,"x",""))</f>
        <v/>
      </c>
      <c r="G684" s="13" t="str">
        <f>IF(A684="","",IF(E684=Agendamento!$C$7,"x",""))</f>
        <v/>
      </c>
      <c r="H684" s="13" t="str">
        <f>IF(A684="","",IF(AND(Agendamento!$C$3="",Agendamento!$C$7&lt;&gt;""),IF(Agendamento!$C$7='Base de Dados'!E684,"x",""),IF(AND(Agendamento!$C$3&lt;&gt;"",Agendamento!$C$7=""),IF(Agendamento!$C$3='Base de Dados'!A684,"x",""),IF(AND(Agendamento!$C$3='Base de Dados'!A684,'Base de Dados'!E684=Agendamento!$C$7),"x",""))))</f>
        <v/>
      </c>
      <c r="I684" s="13" t="str">
        <f>IF(H684="x",COUNT($I$1:I683)+1,"")</f>
        <v/>
      </c>
    </row>
    <row r="685" spans="1:9" x14ac:dyDescent="0.25">
      <c r="A685" s="27"/>
      <c r="B685" s="28"/>
      <c r="C685" s="29"/>
      <c r="D685" s="29"/>
      <c r="E685" s="28"/>
      <c r="F685" s="13" t="str">
        <f>IF(A685="","",IF(A685=Agendamento!$C$3,"x",""))</f>
        <v/>
      </c>
      <c r="G685" s="13" t="str">
        <f>IF(A685="","",IF(E685=Agendamento!$C$7,"x",""))</f>
        <v/>
      </c>
      <c r="H685" s="13" t="str">
        <f>IF(A685="","",IF(AND(Agendamento!$C$3="",Agendamento!$C$7&lt;&gt;""),IF(Agendamento!$C$7='Base de Dados'!E685,"x",""),IF(AND(Agendamento!$C$3&lt;&gt;"",Agendamento!$C$7=""),IF(Agendamento!$C$3='Base de Dados'!A685,"x",""),IF(AND(Agendamento!$C$3='Base de Dados'!A685,'Base de Dados'!E685=Agendamento!$C$7),"x",""))))</f>
        <v/>
      </c>
      <c r="I685" s="13" t="str">
        <f>IF(H685="x",COUNT($I$1:I684)+1,"")</f>
        <v/>
      </c>
    </row>
    <row r="686" spans="1:9" x14ac:dyDescent="0.25">
      <c r="A686" s="27"/>
      <c r="B686" s="28"/>
      <c r="C686" s="29"/>
      <c r="D686" s="29"/>
      <c r="E686" s="28"/>
      <c r="F686" s="13" t="str">
        <f>IF(A686="","",IF(A686=Agendamento!$C$3,"x",""))</f>
        <v/>
      </c>
      <c r="G686" s="13" t="str">
        <f>IF(A686="","",IF(E686=Agendamento!$C$7,"x",""))</f>
        <v/>
      </c>
      <c r="H686" s="13" t="str">
        <f>IF(A686="","",IF(AND(Agendamento!$C$3="",Agendamento!$C$7&lt;&gt;""),IF(Agendamento!$C$7='Base de Dados'!E686,"x",""),IF(AND(Agendamento!$C$3&lt;&gt;"",Agendamento!$C$7=""),IF(Agendamento!$C$3='Base de Dados'!A686,"x",""),IF(AND(Agendamento!$C$3='Base de Dados'!A686,'Base de Dados'!E686=Agendamento!$C$7),"x",""))))</f>
        <v/>
      </c>
      <c r="I686" s="13" t="str">
        <f>IF(H686="x",COUNT($I$1:I685)+1,"")</f>
        <v/>
      </c>
    </row>
    <row r="687" spans="1:9" x14ac:dyDescent="0.25">
      <c r="A687" s="27"/>
      <c r="B687" s="28"/>
      <c r="C687" s="29"/>
      <c r="D687" s="29"/>
      <c r="E687" s="28"/>
      <c r="F687" s="13" t="str">
        <f>IF(A687="","",IF(A687=Agendamento!$C$3,"x",""))</f>
        <v/>
      </c>
      <c r="G687" s="13" t="str">
        <f>IF(A687="","",IF(E687=Agendamento!$C$7,"x",""))</f>
        <v/>
      </c>
      <c r="H687" s="13" t="str">
        <f>IF(A687="","",IF(AND(Agendamento!$C$3="",Agendamento!$C$7&lt;&gt;""),IF(Agendamento!$C$7='Base de Dados'!E687,"x",""),IF(AND(Agendamento!$C$3&lt;&gt;"",Agendamento!$C$7=""),IF(Agendamento!$C$3='Base de Dados'!A687,"x",""),IF(AND(Agendamento!$C$3='Base de Dados'!A687,'Base de Dados'!E687=Agendamento!$C$7),"x",""))))</f>
        <v/>
      </c>
      <c r="I687" s="13" t="str">
        <f>IF(H687="x",COUNT($I$1:I686)+1,"")</f>
        <v/>
      </c>
    </row>
    <row r="688" spans="1:9" x14ac:dyDescent="0.25">
      <c r="A688" s="27"/>
      <c r="B688" s="28"/>
      <c r="C688" s="29"/>
      <c r="D688" s="29"/>
      <c r="E688" s="28"/>
      <c r="F688" s="13" t="str">
        <f>IF(A688="","",IF(A688=Agendamento!$C$3,"x",""))</f>
        <v/>
      </c>
      <c r="G688" s="13" t="str">
        <f>IF(A688="","",IF(E688=Agendamento!$C$7,"x",""))</f>
        <v/>
      </c>
      <c r="H688" s="13" t="str">
        <f>IF(A688="","",IF(AND(Agendamento!$C$3="",Agendamento!$C$7&lt;&gt;""),IF(Agendamento!$C$7='Base de Dados'!E688,"x",""),IF(AND(Agendamento!$C$3&lt;&gt;"",Agendamento!$C$7=""),IF(Agendamento!$C$3='Base de Dados'!A688,"x",""),IF(AND(Agendamento!$C$3='Base de Dados'!A688,'Base de Dados'!E688=Agendamento!$C$7),"x",""))))</f>
        <v/>
      </c>
      <c r="I688" s="13" t="str">
        <f>IF(H688="x",COUNT($I$1:I687)+1,"")</f>
        <v/>
      </c>
    </row>
    <row r="689" spans="1:9" x14ac:dyDescent="0.25">
      <c r="A689" s="27"/>
      <c r="B689" s="28"/>
      <c r="C689" s="29"/>
      <c r="D689" s="29"/>
      <c r="E689" s="28"/>
      <c r="F689" s="13" t="str">
        <f>IF(A689="","",IF(A689=Agendamento!$C$3,"x",""))</f>
        <v/>
      </c>
      <c r="G689" s="13" t="str">
        <f>IF(A689="","",IF(E689=Agendamento!$C$7,"x",""))</f>
        <v/>
      </c>
      <c r="H689" s="13" t="str">
        <f>IF(A689="","",IF(AND(Agendamento!$C$3="",Agendamento!$C$7&lt;&gt;""),IF(Agendamento!$C$7='Base de Dados'!E689,"x",""),IF(AND(Agendamento!$C$3&lt;&gt;"",Agendamento!$C$7=""),IF(Agendamento!$C$3='Base de Dados'!A689,"x",""),IF(AND(Agendamento!$C$3='Base de Dados'!A689,'Base de Dados'!E689=Agendamento!$C$7),"x",""))))</f>
        <v/>
      </c>
      <c r="I689" s="13" t="str">
        <f>IF(H689="x",COUNT($I$1:I688)+1,"")</f>
        <v/>
      </c>
    </row>
    <row r="690" spans="1:9" x14ac:dyDescent="0.25">
      <c r="A690" s="27"/>
      <c r="B690" s="28"/>
      <c r="C690" s="29"/>
      <c r="D690" s="29"/>
      <c r="E690" s="28"/>
      <c r="F690" s="13" t="str">
        <f>IF(A690="","",IF(A690=Agendamento!$C$3,"x",""))</f>
        <v/>
      </c>
      <c r="G690" s="13" t="str">
        <f>IF(A690="","",IF(E690=Agendamento!$C$7,"x",""))</f>
        <v/>
      </c>
      <c r="H690" s="13" t="str">
        <f>IF(A690="","",IF(AND(Agendamento!$C$3="",Agendamento!$C$7&lt;&gt;""),IF(Agendamento!$C$7='Base de Dados'!E690,"x",""),IF(AND(Agendamento!$C$3&lt;&gt;"",Agendamento!$C$7=""),IF(Agendamento!$C$3='Base de Dados'!A690,"x",""),IF(AND(Agendamento!$C$3='Base de Dados'!A690,'Base de Dados'!E690=Agendamento!$C$7),"x",""))))</f>
        <v/>
      </c>
      <c r="I690" s="13" t="str">
        <f>IF(H690="x",COUNT($I$1:I689)+1,"")</f>
        <v/>
      </c>
    </row>
    <row r="691" spans="1:9" x14ac:dyDescent="0.25">
      <c r="A691" s="27"/>
      <c r="B691" s="28"/>
      <c r="C691" s="29"/>
      <c r="D691" s="29"/>
      <c r="E691" s="28"/>
      <c r="F691" s="13" t="str">
        <f>IF(A691="","",IF(A691=Agendamento!$C$3,"x",""))</f>
        <v/>
      </c>
      <c r="G691" s="13" t="str">
        <f>IF(A691="","",IF(E691=Agendamento!$C$7,"x",""))</f>
        <v/>
      </c>
      <c r="H691" s="13" t="str">
        <f>IF(A691="","",IF(AND(Agendamento!$C$3="",Agendamento!$C$7&lt;&gt;""),IF(Agendamento!$C$7='Base de Dados'!E691,"x",""),IF(AND(Agendamento!$C$3&lt;&gt;"",Agendamento!$C$7=""),IF(Agendamento!$C$3='Base de Dados'!A691,"x",""),IF(AND(Agendamento!$C$3='Base de Dados'!A691,'Base de Dados'!E691=Agendamento!$C$7),"x",""))))</f>
        <v/>
      </c>
      <c r="I691" s="13" t="str">
        <f>IF(H691="x",COUNT($I$1:I690)+1,"")</f>
        <v/>
      </c>
    </row>
    <row r="692" spans="1:9" x14ac:dyDescent="0.25">
      <c r="A692" s="27"/>
      <c r="B692" s="28"/>
      <c r="C692" s="29"/>
      <c r="D692" s="29"/>
      <c r="E692" s="28"/>
      <c r="F692" s="13" t="str">
        <f>IF(A692="","",IF(A692=Agendamento!$C$3,"x",""))</f>
        <v/>
      </c>
      <c r="G692" s="13" t="str">
        <f>IF(A692="","",IF(E692=Agendamento!$C$7,"x",""))</f>
        <v/>
      </c>
      <c r="H692" s="13" t="str">
        <f>IF(A692="","",IF(AND(Agendamento!$C$3="",Agendamento!$C$7&lt;&gt;""),IF(Agendamento!$C$7='Base de Dados'!E692,"x",""),IF(AND(Agendamento!$C$3&lt;&gt;"",Agendamento!$C$7=""),IF(Agendamento!$C$3='Base de Dados'!A692,"x",""),IF(AND(Agendamento!$C$3='Base de Dados'!A692,'Base de Dados'!E692=Agendamento!$C$7),"x",""))))</f>
        <v/>
      </c>
      <c r="I692" s="13" t="str">
        <f>IF(H692="x",COUNT($I$1:I691)+1,"")</f>
        <v/>
      </c>
    </row>
    <row r="693" spans="1:9" x14ac:dyDescent="0.25">
      <c r="A693" s="27"/>
      <c r="B693" s="28"/>
      <c r="C693" s="29"/>
      <c r="D693" s="29"/>
      <c r="E693" s="28"/>
      <c r="F693" s="13" t="str">
        <f>IF(A693="","",IF(A693=Agendamento!$C$3,"x",""))</f>
        <v/>
      </c>
      <c r="G693" s="13" t="str">
        <f>IF(A693="","",IF(E693=Agendamento!$C$7,"x",""))</f>
        <v/>
      </c>
      <c r="H693" s="13" t="str">
        <f>IF(A693="","",IF(AND(Agendamento!$C$3="",Agendamento!$C$7&lt;&gt;""),IF(Agendamento!$C$7='Base de Dados'!E693,"x",""),IF(AND(Agendamento!$C$3&lt;&gt;"",Agendamento!$C$7=""),IF(Agendamento!$C$3='Base de Dados'!A693,"x",""),IF(AND(Agendamento!$C$3='Base de Dados'!A693,'Base de Dados'!E693=Agendamento!$C$7),"x",""))))</f>
        <v/>
      </c>
      <c r="I693" s="13" t="str">
        <f>IF(H693="x",COUNT($I$1:I692)+1,"")</f>
        <v/>
      </c>
    </row>
    <row r="694" spans="1:9" x14ac:dyDescent="0.25">
      <c r="A694" s="27"/>
      <c r="B694" s="28"/>
      <c r="C694" s="29"/>
      <c r="D694" s="29"/>
      <c r="E694" s="28"/>
      <c r="F694" s="13" t="str">
        <f>IF(A694="","",IF(A694=Agendamento!$C$3,"x",""))</f>
        <v/>
      </c>
      <c r="G694" s="13" t="str">
        <f>IF(A694="","",IF(E694=Agendamento!$C$7,"x",""))</f>
        <v/>
      </c>
      <c r="H694" s="13" t="str">
        <f>IF(A694="","",IF(AND(Agendamento!$C$3="",Agendamento!$C$7&lt;&gt;""),IF(Agendamento!$C$7='Base de Dados'!E694,"x",""),IF(AND(Agendamento!$C$3&lt;&gt;"",Agendamento!$C$7=""),IF(Agendamento!$C$3='Base de Dados'!A694,"x",""),IF(AND(Agendamento!$C$3='Base de Dados'!A694,'Base de Dados'!E694=Agendamento!$C$7),"x",""))))</f>
        <v/>
      </c>
      <c r="I694" s="13" t="str">
        <f>IF(H694="x",COUNT($I$1:I693)+1,"")</f>
        <v/>
      </c>
    </row>
    <row r="695" spans="1:9" x14ac:dyDescent="0.25">
      <c r="A695" s="27"/>
      <c r="B695" s="28"/>
      <c r="C695" s="29"/>
      <c r="D695" s="29"/>
      <c r="E695" s="28"/>
      <c r="F695" s="13" t="str">
        <f>IF(A695="","",IF(A695=Agendamento!$C$3,"x",""))</f>
        <v/>
      </c>
      <c r="G695" s="13" t="str">
        <f>IF(A695="","",IF(E695=Agendamento!$C$7,"x",""))</f>
        <v/>
      </c>
      <c r="H695" s="13" t="str">
        <f>IF(A695="","",IF(AND(Agendamento!$C$3="",Agendamento!$C$7&lt;&gt;""),IF(Agendamento!$C$7='Base de Dados'!E695,"x",""),IF(AND(Agendamento!$C$3&lt;&gt;"",Agendamento!$C$7=""),IF(Agendamento!$C$3='Base de Dados'!A695,"x",""),IF(AND(Agendamento!$C$3='Base de Dados'!A695,'Base de Dados'!E695=Agendamento!$C$7),"x",""))))</f>
        <v/>
      </c>
      <c r="I695" s="13" t="str">
        <f>IF(H695="x",COUNT($I$1:I694)+1,"")</f>
        <v/>
      </c>
    </row>
    <row r="696" spans="1:9" x14ac:dyDescent="0.25">
      <c r="A696" s="27"/>
      <c r="B696" s="28"/>
      <c r="C696" s="29"/>
      <c r="D696" s="29"/>
      <c r="E696" s="28"/>
      <c r="F696" s="13" t="str">
        <f>IF(A696="","",IF(A696=Agendamento!$C$3,"x",""))</f>
        <v/>
      </c>
      <c r="G696" s="13" t="str">
        <f>IF(A696="","",IF(E696=Agendamento!$C$7,"x",""))</f>
        <v/>
      </c>
      <c r="H696" s="13" t="str">
        <f>IF(A696="","",IF(AND(Agendamento!$C$3="",Agendamento!$C$7&lt;&gt;""),IF(Agendamento!$C$7='Base de Dados'!E696,"x",""),IF(AND(Agendamento!$C$3&lt;&gt;"",Agendamento!$C$7=""),IF(Agendamento!$C$3='Base de Dados'!A696,"x",""),IF(AND(Agendamento!$C$3='Base de Dados'!A696,'Base de Dados'!E696=Agendamento!$C$7),"x",""))))</f>
        <v/>
      </c>
      <c r="I696" s="13" t="str">
        <f>IF(H696="x",COUNT($I$1:I695)+1,"")</f>
        <v/>
      </c>
    </row>
    <row r="697" spans="1:9" x14ac:dyDescent="0.25">
      <c r="A697" s="27"/>
      <c r="B697" s="28"/>
      <c r="C697" s="29"/>
      <c r="D697" s="29"/>
      <c r="E697" s="28"/>
      <c r="F697" s="13" t="str">
        <f>IF(A697="","",IF(A697=Agendamento!$C$3,"x",""))</f>
        <v/>
      </c>
      <c r="G697" s="13" t="str">
        <f>IF(A697="","",IF(E697=Agendamento!$C$7,"x",""))</f>
        <v/>
      </c>
      <c r="H697" s="13" t="str">
        <f>IF(A697="","",IF(AND(Agendamento!$C$3="",Agendamento!$C$7&lt;&gt;""),IF(Agendamento!$C$7='Base de Dados'!E697,"x",""),IF(AND(Agendamento!$C$3&lt;&gt;"",Agendamento!$C$7=""),IF(Agendamento!$C$3='Base de Dados'!A697,"x",""),IF(AND(Agendamento!$C$3='Base de Dados'!A697,'Base de Dados'!E697=Agendamento!$C$7),"x",""))))</f>
        <v/>
      </c>
      <c r="I697" s="13" t="str">
        <f>IF(H697="x",COUNT($I$1:I696)+1,"")</f>
        <v/>
      </c>
    </row>
    <row r="698" spans="1:9" x14ac:dyDescent="0.25">
      <c r="A698" s="27"/>
      <c r="B698" s="28"/>
      <c r="C698" s="29"/>
      <c r="D698" s="29"/>
      <c r="E698" s="28"/>
      <c r="F698" s="13" t="str">
        <f>IF(A698="","",IF(A698=Agendamento!$C$3,"x",""))</f>
        <v/>
      </c>
      <c r="G698" s="13" t="str">
        <f>IF(A698="","",IF(E698=Agendamento!$C$7,"x",""))</f>
        <v/>
      </c>
      <c r="H698" s="13" t="str">
        <f>IF(A698="","",IF(AND(Agendamento!$C$3="",Agendamento!$C$7&lt;&gt;""),IF(Agendamento!$C$7='Base de Dados'!E698,"x",""),IF(AND(Agendamento!$C$3&lt;&gt;"",Agendamento!$C$7=""),IF(Agendamento!$C$3='Base de Dados'!A698,"x",""),IF(AND(Agendamento!$C$3='Base de Dados'!A698,'Base de Dados'!E698=Agendamento!$C$7),"x",""))))</f>
        <v/>
      </c>
      <c r="I698" s="13" t="str">
        <f>IF(H698="x",COUNT($I$1:I697)+1,"")</f>
        <v/>
      </c>
    </row>
    <row r="699" spans="1:9" x14ac:dyDescent="0.25">
      <c r="A699" s="27"/>
      <c r="B699" s="28"/>
      <c r="C699" s="29"/>
      <c r="D699" s="29"/>
      <c r="E699" s="28"/>
      <c r="F699" s="13" t="str">
        <f>IF(A699="","",IF(A699=Agendamento!$C$3,"x",""))</f>
        <v/>
      </c>
      <c r="G699" s="13" t="str">
        <f>IF(A699="","",IF(E699=Agendamento!$C$7,"x",""))</f>
        <v/>
      </c>
      <c r="H699" s="13" t="str">
        <f>IF(A699="","",IF(AND(Agendamento!$C$3="",Agendamento!$C$7&lt;&gt;""),IF(Agendamento!$C$7='Base de Dados'!E699,"x",""),IF(AND(Agendamento!$C$3&lt;&gt;"",Agendamento!$C$7=""),IF(Agendamento!$C$3='Base de Dados'!A699,"x",""),IF(AND(Agendamento!$C$3='Base de Dados'!A699,'Base de Dados'!E699=Agendamento!$C$7),"x",""))))</f>
        <v/>
      </c>
      <c r="I699" s="13" t="str">
        <f>IF(H699="x",COUNT($I$1:I698)+1,"")</f>
        <v/>
      </c>
    </row>
    <row r="700" spans="1:9" x14ac:dyDescent="0.25">
      <c r="A700" s="27"/>
      <c r="B700" s="28"/>
      <c r="C700" s="29"/>
      <c r="D700" s="29"/>
      <c r="E700" s="28"/>
      <c r="F700" s="13" t="str">
        <f>IF(A700="","",IF(A700=Agendamento!$C$3,"x",""))</f>
        <v/>
      </c>
      <c r="G700" s="13" t="str">
        <f>IF(A700="","",IF(E700=Agendamento!$C$7,"x",""))</f>
        <v/>
      </c>
      <c r="H700" s="13" t="str">
        <f>IF(A700="","",IF(AND(Agendamento!$C$3="",Agendamento!$C$7&lt;&gt;""),IF(Agendamento!$C$7='Base de Dados'!E700,"x",""),IF(AND(Agendamento!$C$3&lt;&gt;"",Agendamento!$C$7=""),IF(Agendamento!$C$3='Base de Dados'!A700,"x",""),IF(AND(Agendamento!$C$3='Base de Dados'!A700,'Base de Dados'!E700=Agendamento!$C$7),"x",""))))</f>
        <v/>
      </c>
      <c r="I700" s="13" t="str">
        <f>IF(H700="x",COUNT($I$1:I699)+1,"")</f>
        <v/>
      </c>
    </row>
    <row r="701" spans="1:9" x14ac:dyDescent="0.25">
      <c r="A701" s="27"/>
      <c r="B701" s="28"/>
      <c r="C701" s="29"/>
      <c r="D701" s="29"/>
      <c r="E701" s="28"/>
      <c r="F701" s="13" t="str">
        <f>IF(A701="","",IF(A701=Agendamento!$C$3,"x",""))</f>
        <v/>
      </c>
      <c r="G701" s="13" t="str">
        <f>IF(A701="","",IF(E701=Agendamento!$C$7,"x",""))</f>
        <v/>
      </c>
      <c r="H701" s="13" t="str">
        <f>IF(A701="","",IF(AND(Agendamento!$C$3="",Agendamento!$C$7&lt;&gt;""),IF(Agendamento!$C$7='Base de Dados'!E701,"x",""),IF(AND(Agendamento!$C$3&lt;&gt;"",Agendamento!$C$7=""),IF(Agendamento!$C$3='Base de Dados'!A701,"x",""),IF(AND(Agendamento!$C$3='Base de Dados'!A701,'Base de Dados'!E701=Agendamento!$C$7),"x",""))))</f>
        <v/>
      </c>
      <c r="I701" s="13" t="str">
        <f>IF(H701="x",COUNT($I$1:I700)+1,"")</f>
        <v/>
      </c>
    </row>
    <row r="702" spans="1:9" x14ac:dyDescent="0.25">
      <c r="A702" s="27"/>
      <c r="B702" s="28"/>
      <c r="C702" s="29"/>
      <c r="D702" s="29"/>
      <c r="E702" s="28"/>
      <c r="F702" s="13" t="str">
        <f>IF(A702="","",IF(A702=Agendamento!$C$3,"x",""))</f>
        <v/>
      </c>
      <c r="G702" s="13" t="str">
        <f>IF(A702="","",IF(E702=Agendamento!$C$7,"x",""))</f>
        <v/>
      </c>
      <c r="H702" s="13" t="str">
        <f>IF(A702="","",IF(AND(Agendamento!$C$3="",Agendamento!$C$7&lt;&gt;""),IF(Agendamento!$C$7='Base de Dados'!E702,"x",""),IF(AND(Agendamento!$C$3&lt;&gt;"",Agendamento!$C$7=""),IF(Agendamento!$C$3='Base de Dados'!A702,"x",""),IF(AND(Agendamento!$C$3='Base de Dados'!A702,'Base de Dados'!E702=Agendamento!$C$7),"x",""))))</f>
        <v/>
      </c>
      <c r="I702" s="13" t="str">
        <f>IF(H702="x",COUNT($I$1:I701)+1,"")</f>
        <v/>
      </c>
    </row>
    <row r="703" spans="1:9" x14ac:dyDescent="0.25">
      <c r="A703" s="27"/>
      <c r="B703" s="28"/>
      <c r="C703" s="29"/>
      <c r="D703" s="29"/>
      <c r="E703" s="28"/>
      <c r="F703" s="13" t="str">
        <f>IF(A703="","",IF(A703=Agendamento!$C$3,"x",""))</f>
        <v/>
      </c>
      <c r="G703" s="13" t="str">
        <f>IF(A703="","",IF(E703=Agendamento!$C$7,"x",""))</f>
        <v/>
      </c>
      <c r="H703" s="13" t="str">
        <f>IF(A703="","",IF(AND(Agendamento!$C$3="",Agendamento!$C$7&lt;&gt;""),IF(Agendamento!$C$7='Base de Dados'!E703,"x",""),IF(AND(Agendamento!$C$3&lt;&gt;"",Agendamento!$C$7=""),IF(Agendamento!$C$3='Base de Dados'!A703,"x",""),IF(AND(Agendamento!$C$3='Base de Dados'!A703,'Base de Dados'!E703=Agendamento!$C$7),"x",""))))</f>
        <v/>
      </c>
      <c r="I703" s="13" t="str">
        <f>IF(H703="x",COUNT($I$1:I702)+1,"")</f>
        <v/>
      </c>
    </row>
    <row r="704" spans="1:9" x14ac:dyDescent="0.25">
      <c r="A704" s="27"/>
      <c r="B704" s="28"/>
      <c r="C704" s="29"/>
      <c r="D704" s="29"/>
      <c r="E704" s="28"/>
      <c r="F704" s="13" t="str">
        <f>IF(A704="","",IF(A704=Agendamento!$C$3,"x",""))</f>
        <v/>
      </c>
      <c r="G704" s="13" t="str">
        <f>IF(A704="","",IF(E704=Agendamento!$C$7,"x",""))</f>
        <v/>
      </c>
      <c r="H704" s="13" t="str">
        <f>IF(A704="","",IF(AND(Agendamento!$C$3="",Agendamento!$C$7&lt;&gt;""),IF(Agendamento!$C$7='Base de Dados'!E704,"x",""),IF(AND(Agendamento!$C$3&lt;&gt;"",Agendamento!$C$7=""),IF(Agendamento!$C$3='Base de Dados'!A704,"x",""),IF(AND(Agendamento!$C$3='Base de Dados'!A704,'Base de Dados'!E704=Agendamento!$C$7),"x",""))))</f>
        <v/>
      </c>
      <c r="I704" s="13" t="str">
        <f>IF(H704="x",COUNT($I$1:I703)+1,"")</f>
        <v/>
      </c>
    </row>
    <row r="705" spans="1:9" x14ac:dyDescent="0.25">
      <c r="A705" s="27"/>
      <c r="B705" s="28"/>
      <c r="C705" s="29"/>
      <c r="D705" s="29"/>
      <c r="E705" s="28"/>
      <c r="F705" s="13" t="str">
        <f>IF(A705="","",IF(A705=Agendamento!$C$3,"x",""))</f>
        <v/>
      </c>
      <c r="G705" s="13" t="str">
        <f>IF(A705="","",IF(E705=Agendamento!$C$7,"x",""))</f>
        <v/>
      </c>
      <c r="H705" s="13" t="str">
        <f>IF(A705="","",IF(AND(Agendamento!$C$3="",Agendamento!$C$7&lt;&gt;""),IF(Agendamento!$C$7='Base de Dados'!E705,"x",""),IF(AND(Agendamento!$C$3&lt;&gt;"",Agendamento!$C$7=""),IF(Agendamento!$C$3='Base de Dados'!A705,"x",""),IF(AND(Agendamento!$C$3='Base de Dados'!A705,'Base de Dados'!E705=Agendamento!$C$7),"x",""))))</f>
        <v/>
      </c>
      <c r="I705" s="13" t="str">
        <f>IF(H705="x",COUNT($I$1:I704)+1,"")</f>
        <v/>
      </c>
    </row>
    <row r="706" spans="1:9" x14ac:dyDescent="0.25">
      <c r="A706" s="27"/>
      <c r="B706" s="28"/>
      <c r="C706" s="29"/>
      <c r="D706" s="29"/>
      <c r="E706" s="28"/>
      <c r="F706" s="13" t="str">
        <f>IF(A706="","",IF(A706=Agendamento!$C$3,"x",""))</f>
        <v/>
      </c>
      <c r="G706" s="13" t="str">
        <f>IF(A706="","",IF(E706=Agendamento!$C$7,"x",""))</f>
        <v/>
      </c>
      <c r="H706" s="13" t="str">
        <f>IF(A706="","",IF(AND(Agendamento!$C$3="",Agendamento!$C$7&lt;&gt;""),IF(Agendamento!$C$7='Base de Dados'!E706,"x",""),IF(AND(Agendamento!$C$3&lt;&gt;"",Agendamento!$C$7=""),IF(Agendamento!$C$3='Base de Dados'!A706,"x",""),IF(AND(Agendamento!$C$3='Base de Dados'!A706,'Base de Dados'!E706=Agendamento!$C$7),"x",""))))</f>
        <v/>
      </c>
      <c r="I706" s="13" t="str">
        <f>IF(H706="x",COUNT($I$1:I705)+1,"")</f>
        <v/>
      </c>
    </row>
    <row r="707" spans="1:9" x14ac:dyDescent="0.25">
      <c r="A707" s="27"/>
      <c r="B707" s="28"/>
      <c r="C707" s="29"/>
      <c r="D707" s="29"/>
      <c r="E707" s="28"/>
      <c r="F707" s="13" t="str">
        <f>IF(A707="","",IF(A707=Agendamento!$C$3,"x",""))</f>
        <v/>
      </c>
      <c r="G707" s="13" t="str">
        <f>IF(A707="","",IF(E707=Agendamento!$C$7,"x",""))</f>
        <v/>
      </c>
      <c r="H707" s="13" t="str">
        <f>IF(A707="","",IF(AND(Agendamento!$C$3="",Agendamento!$C$7&lt;&gt;""),IF(Agendamento!$C$7='Base de Dados'!E707,"x",""),IF(AND(Agendamento!$C$3&lt;&gt;"",Agendamento!$C$7=""),IF(Agendamento!$C$3='Base de Dados'!A707,"x",""),IF(AND(Agendamento!$C$3='Base de Dados'!A707,'Base de Dados'!E707=Agendamento!$C$7),"x",""))))</f>
        <v/>
      </c>
      <c r="I707" s="13" t="str">
        <f>IF(H707="x",COUNT($I$1:I706)+1,"")</f>
        <v/>
      </c>
    </row>
    <row r="708" spans="1:9" x14ac:dyDescent="0.25">
      <c r="A708" s="27"/>
      <c r="B708" s="28"/>
      <c r="C708" s="29"/>
      <c r="D708" s="29"/>
      <c r="E708" s="28"/>
      <c r="F708" s="13" t="str">
        <f>IF(A708="","",IF(A708=Agendamento!$C$3,"x",""))</f>
        <v/>
      </c>
      <c r="G708" s="13" t="str">
        <f>IF(A708="","",IF(E708=Agendamento!$C$7,"x",""))</f>
        <v/>
      </c>
      <c r="H708" s="13" t="str">
        <f>IF(A708="","",IF(AND(Agendamento!$C$3="",Agendamento!$C$7&lt;&gt;""),IF(Agendamento!$C$7='Base de Dados'!E708,"x",""),IF(AND(Agendamento!$C$3&lt;&gt;"",Agendamento!$C$7=""),IF(Agendamento!$C$3='Base de Dados'!A708,"x",""),IF(AND(Agendamento!$C$3='Base de Dados'!A708,'Base de Dados'!E708=Agendamento!$C$7),"x",""))))</f>
        <v/>
      </c>
      <c r="I708" s="13" t="str">
        <f>IF(H708="x",COUNT($I$1:I707)+1,"")</f>
        <v/>
      </c>
    </row>
    <row r="709" spans="1:9" x14ac:dyDescent="0.25">
      <c r="A709" s="27"/>
      <c r="B709" s="28"/>
      <c r="C709" s="29"/>
      <c r="D709" s="29"/>
      <c r="E709" s="28"/>
      <c r="F709" s="13" t="str">
        <f>IF(A709="","",IF(A709=Agendamento!$C$3,"x",""))</f>
        <v/>
      </c>
      <c r="G709" s="13" t="str">
        <f>IF(A709="","",IF(E709=Agendamento!$C$7,"x",""))</f>
        <v/>
      </c>
      <c r="H709" s="13" t="str">
        <f>IF(A709="","",IF(AND(Agendamento!$C$3="",Agendamento!$C$7&lt;&gt;""),IF(Agendamento!$C$7='Base de Dados'!E709,"x",""),IF(AND(Agendamento!$C$3&lt;&gt;"",Agendamento!$C$7=""),IF(Agendamento!$C$3='Base de Dados'!A709,"x",""),IF(AND(Agendamento!$C$3='Base de Dados'!A709,'Base de Dados'!E709=Agendamento!$C$7),"x",""))))</f>
        <v/>
      </c>
      <c r="I709" s="13" t="str">
        <f>IF(H709="x",COUNT($I$1:I708)+1,"")</f>
        <v/>
      </c>
    </row>
    <row r="710" spans="1:9" x14ac:dyDescent="0.25">
      <c r="A710" s="27"/>
      <c r="B710" s="28"/>
      <c r="C710" s="29"/>
      <c r="D710" s="29"/>
      <c r="E710" s="28"/>
      <c r="F710" s="13" t="str">
        <f>IF(A710="","",IF(A710=Agendamento!$C$3,"x",""))</f>
        <v/>
      </c>
      <c r="G710" s="13" t="str">
        <f>IF(A710="","",IF(E710=Agendamento!$C$7,"x",""))</f>
        <v/>
      </c>
      <c r="H710" s="13" t="str">
        <f>IF(A710="","",IF(AND(Agendamento!$C$3="",Agendamento!$C$7&lt;&gt;""),IF(Agendamento!$C$7='Base de Dados'!E710,"x",""),IF(AND(Agendamento!$C$3&lt;&gt;"",Agendamento!$C$7=""),IF(Agendamento!$C$3='Base de Dados'!A710,"x",""),IF(AND(Agendamento!$C$3='Base de Dados'!A710,'Base de Dados'!E710=Agendamento!$C$7),"x",""))))</f>
        <v/>
      </c>
      <c r="I710" s="13" t="str">
        <f>IF(H710="x",COUNT($I$1:I709)+1,"")</f>
        <v/>
      </c>
    </row>
    <row r="711" spans="1:9" x14ac:dyDescent="0.25">
      <c r="A711" s="27"/>
      <c r="B711" s="28"/>
      <c r="C711" s="29"/>
      <c r="D711" s="29"/>
      <c r="E711" s="28"/>
      <c r="F711" s="13" t="str">
        <f>IF(A711="","",IF(A711=Agendamento!$C$3,"x",""))</f>
        <v/>
      </c>
      <c r="G711" s="13" t="str">
        <f>IF(A711="","",IF(E711=Agendamento!$C$7,"x",""))</f>
        <v/>
      </c>
      <c r="H711" s="13" t="str">
        <f>IF(A711="","",IF(AND(Agendamento!$C$3="",Agendamento!$C$7&lt;&gt;""),IF(Agendamento!$C$7='Base de Dados'!E711,"x",""),IF(AND(Agendamento!$C$3&lt;&gt;"",Agendamento!$C$7=""),IF(Agendamento!$C$3='Base de Dados'!A711,"x",""),IF(AND(Agendamento!$C$3='Base de Dados'!A711,'Base de Dados'!E711=Agendamento!$C$7),"x",""))))</f>
        <v/>
      </c>
      <c r="I711" s="13" t="str">
        <f>IF(H711="x",COUNT($I$1:I710)+1,"")</f>
        <v/>
      </c>
    </row>
    <row r="712" spans="1:9" x14ac:dyDescent="0.25">
      <c r="A712" s="27"/>
      <c r="B712" s="28"/>
      <c r="C712" s="29"/>
      <c r="D712" s="29"/>
      <c r="E712" s="28"/>
      <c r="F712" s="13" t="str">
        <f>IF(A712="","",IF(A712=Agendamento!$C$3,"x",""))</f>
        <v/>
      </c>
      <c r="G712" s="13" t="str">
        <f>IF(A712="","",IF(E712=Agendamento!$C$7,"x",""))</f>
        <v/>
      </c>
      <c r="H712" s="13" t="str">
        <f>IF(A712="","",IF(AND(Agendamento!$C$3="",Agendamento!$C$7&lt;&gt;""),IF(Agendamento!$C$7='Base de Dados'!E712,"x",""),IF(AND(Agendamento!$C$3&lt;&gt;"",Agendamento!$C$7=""),IF(Agendamento!$C$3='Base de Dados'!A712,"x",""),IF(AND(Agendamento!$C$3='Base de Dados'!A712,'Base de Dados'!E712=Agendamento!$C$7),"x",""))))</f>
        <v/>
      </c>
      <c r="I712" s="13" t="str">
        <f>IF(H712="x",COUNT($I$1:I711)+1,"")</f>
        <v/>
      </c>
    </row>
    <row r="713" spans="1:9" x14ac:dyDescent="0.25">
      <c r="A713" s="27"/>
      <c r="B713" s="28"/>
      <c r="C713" s="29"/>
      <c r="D713" s="29"/>
      <c r="E713" s="28"/>
      <c r="F713" s="13" t="str">
        <f>IF(A713="","",IF(A713=Agendamento!$C$3,"x",""))</f>
        <v/>
      </c>
      <c r="G713" s="13" t="str">
        <f>IF(A713="","",IF(E713=Agendamento!$C$7,"x",""))</f>
        <v/>
      </c>
      <c r="H713" s="13" t="str">
        <f>IF(A713="","",IF(AND(Agendamento!$C$3="",Agendamento!$C$7&lt;&gt;""),IF(Agendamento!$C$7='Base de Dados'!E713,"x",""),IF(AND(Agendamento!$C$3&lt;&gt;"",Agendamento!$C$7=""),IF(Agendamento!$C$3='Base de Dados'!A713,"x",""),IF(AND(Agendamento!$C$3='Base de Dados'!A713,'Base de Dados'!E713=Agendamento!$C$7),"x",""))))</f>
        <v/>
      </c>
      <c r="I713" s="13" t="str">
        <f>IF(H713="x",COUNT($I$1:I712)+1,"")</f>
        <v/>
      </c>
    </row>
    <row r="714" spans="1:9" x14ac:dyDescent="0.25">
      <c r="A714" s="27"/>
      <c r="B714" s="28"/>
      <c r="C714" s="29"/>
      <c r="D714" s="29"/>
      <c r="E714" s="28"/>
      <c r="F714" s="13" t="str">
        <f>IF(A714="","",IF(A714=Agendamento!$C$3,"x",""))</f>
        <v/>
      </c>
      <c r="G714" s="13" t="str">
        <f>IF(A714="","",IF(E714=Agendamento!$C$7,"x",""))</f>
        <v/>
      </c>
      <c r="H714" s="13" t="str">
        <f>IF(A714="","",IF(AND(Agendamento!$C$3="",Agendamento!$C$7&lt;&gt;""),IF(Agendamento!$C$7='Base de Dados'!E714,"x",""),IF(AND(Agendamento!$C$3&lt;&gt;"",Agendamento!$C$7=""),IF(Agendamento!$C$3='Base de Dados'!A714,"x",""),IF(AND(Agendamento!$C$3='Base de Dados'!A714,'Base de Dados'!E714=Agendamento!$C$7),"x",""))))</f>
        <v/>
      </c>
      <c r="I714" s="13" t="str">
        <f>IF(H714="x",COUNT($I$1:I713)+1,"")</f>
        <v/>
      </c>
    </row>
    <row r="715" spans="1:9" x14ac:dyDescent="0.25">
      <c r="A715" s="27"/>
      <c r="B715" s="28"/>
      <c r="C715" s="29"/>
      <c r="D715" s="29"/>
      <c r="E715" s="28"/>
      <c r="F715" s="13" t="str">
        <f>IF(A715="","",IF(A715=Agendamento!$C$3,"x",""))</f>
        <v/>
      </c>
      <c r="G715" s="13" t="str">
        <f>IF(A715="","",IF(E715=Agendamento!$C$7,"x",""))</f>
        <v/>
      </c>
      <c r="H715" s="13" t="str">
        <f>IF(A715="","",IF(AND(Agendamento!$C$3="",Agendamento!$C$7&lt;&gt;""),IF(Agendamento!$C$7='Base de Dados'!E715,"x",""),IF(AND(Agendamento!$C$3&lt;&gt;"",Agendamento!$C$7=""),IF(Agendamento!$C$3='Base de Dados'!A715,"x",""),IF(AND(Agendamento!$C$3='Base de Dados'!A715,'Base de Dados'!E715=Agendamento!$C$7),"x",""))))</f>
        <v/>
      </c>
      <c r="I715" s="13" t="str">
        <f>IF(H715="x",COUNT($I$1:I714)+1,"")</f>
        <v/>
      </c>
    </row>
    <row r="716" spans="1:9" x14ac:dyDescent="0.25">
      <c r="A716" s="27"/>
      <c r="B716" s="28"/>
      <c r="C716" s="29"/>
      <c r="D716" s="29"/>
      <c r="E716" s="28"/>
      <c r="F716" s="13" t="str">
        <f>IF(A716="","",IF(A716=Agendamento!$C$3,"x",""))</f>
        <v/>
      </c>
      <c r="G716" s="13" t="str">
        <f>IF(A716="","",IF(E716=Agendamento!$C$7,"x",""))</f>
        <v/>
      </c>
      <c r="H716" s="13" t="str">
        <f>IF(A716="","",IF(AND(Agendamento!$C$3="",Agendamento!$C$7&lt;&gt;""),IF(Agendamento!$C$7='Base de Dados'!E716,"x",""),IF(AND(Agendamento!$C$3&lt;&gt;"",Agendamento!$C$7=""),IF(Agendamento!$C$3='Base de Dados'!A716,"x",""),IF(AND(Agendamento!$C$3='Base de Dados'!A716,'Base de Dados'!E716=Agendamento!$C$7),"x",""))))</f>
        <v/>
      </c>
      <c r="I716" s="13" t="str">
        <f>IF(H716="x",COUNT($I$1:I715)+1,"")</f>
        <v/>
      </c>
    </row>
    <row r="717" spans="1:9" x14ac:dyDescent="0.25">
      <c r="A717" s="27"/>
      <c r="B717" s="28"/>
      <c r="C717" s="29"/>
      <c r="D717" s="29"/>
      <c r="E717" s="28"/>
      <c r="F717" s="13" t="str">
        <f>IF(A717="","",IF(A717=Agendamento!$C$3,"x",""))</f>
        <v/>
      </c>
      <c r="G717" s="13" t="str">
        <f>IF(A717="","",IF(E717=Agendamento!$C$7,"x",""))</f>
        <v/>
      </c>
      <c r="H717" s="13" t="str">
        <f>IF(A717="","",IF(AND(Agendamento!$C$3="",Agendamento!$C$7&lt;&gt;""),IF(Agendamento!$C$7='Base de Dados'!E717,"x",""),IF(AND(Agendamento!$C$3&lt;&gt;"",Agendamento!$C$7=""),IF(Agendamento!$C$3='Base de Dados'!A717,"x",""),IF(AND(Agendamento!$C$3='Base de Dados'!A717,'Base de Dados'!E717=Agendamento!$C$7),"x",""))))</f>
        <v/>
      </c>
      <c r="I717" s="13" t="str">
        <f>IF(H717="x",COUNT($I$1:I716)+1,"")</f>
        <v/>
      </c>
    </row>
    <row r="718" spans="1:9" x14ac:dyDescent="0.25">
      <c r="A718" s="27"/>
      <c r="B718" s="28"/>
      <c r="C718" s="29"/>
      <c r="D718" s="29"/>
      <c r="E718" s="28"/>
      <c r="F718" s="13" t="str">
        <f>IF(A718="","",IF(A718=Agendamento!$C$3,"x",""))</f>
        <v/>
      </c>
      <c r="G718" s="13" t="str">
        <f>IF(A718="","",IF(E718=Agendamento!$C$7,"x",""))</f>
        <v/>
      </c>
      <c r="H718" s="13" t="str">
        <f>IF(A718="","",IF(AND(Agendamento!$C$3="",Agendamento!$C$7&lt;&gt;""),IF(Agendamento!$C$7='Base de Dados'!E718,"x",""),IF(AND(Agendamento!$C$3&lt;&gt;"",Agendamento!$C$7=""),IF(Agendamento!$C$3='Base de Dados'!A718,"x",""),IF(AND(Agendamento!$C$3='Base de Dados'!A718,'Base de Dados'!E718=Agendamento!$C$7),"x",""))))</f>
        <v/>
      </c>
      <c r="I718" s="13" t="str">
        <f>IF(H718="x",COUNT($I$1:I717)+1,"")</f>
        <v/>
      </c>
    </row>
    <row r="719" spans="1:9" x14ac:dyDescent="0.25">
      <c r="A719" s="27"/>
      <c r="B719" s="28"/>
      <c r="C719" s="29"/>
      <c r="D719" s="29"/>
      <c r="E719" s="28"/>
      <c r="F719" s="13" t="str">
        <f>IF(A719="","",IF(A719=Agendamento!$C$3,"x",""))</f>
        <v/>
      </c>
      <c r="G719" s="13" t="str">
        <f>IF(A719="","",IF(E719=Agendamento!$C$7,"x",""))</f>
        <v/>
      </c>
      <c r="H719" s="13" t="str">
        <f>IF(A719="","",IF(AND(Agendamento!$C$3="",Agendamento!$C$7&lt;&gt;""),IF(Agendamento!$C$7='Base de Dados'!E719,"x",""),IF(AND(Agendamento!$C$3&lt;&gt;"",Agendamento!$C$7=""),IF(Agendamento!$C$3='Base de Dados'!A719,"x",""),IF(AND(Agendamento!$C$3='Base de Dados'!A719,'Base de Dados'!E719=Agendamento!$C$7),"x",""))))</f>
        <v/>
      </c>
      <c r="I719" s="13" t="str">
        <f>IF(H719="x",COUNT($I$1:I718)+1,"")</f>
        <v/>
      </c>
    </row>
    <row r="720" spans="1:9" x14ac:dyDescent="0.25">
      <c r="A720" s="27"/>
      <c r="B720" s="28"/>
      <c r="C720" s="29"/>
      <c r="D720" s="29"/>
      <c r="E720" s="28"/>
      <c r="F720" s="13" t="str">
        <f>IF(A720="","",IF(A720=Agendamento!$C$3,"x",""))</f>
        <v/>
      </c>
      <c r="G720" s="13" t="str">
        <f>IF(A720="","",IF(E720=Agendamento!$C$7,"x",""))</f>
        <v/>
      </c>
      <c r="H720" s="13" t="str">
        <f>IF(A720="","",IF(AND(Agendamento!$C$3="",Agendamento!$C$7&lt;&gt;""),IF(Agendamento!$C$7='Base de Dados'!E720,"x",""),IF(AND(Agendamento!$C$3&lt;&gt;"",Agendamento!$C$7=""),IF(Agendamento!$C$3='Base de Dados'!A720,"x",""),IF(AND(Agendamento!$C$3='Base de Dados'!A720,'Base de Dados'!E720=Agendamento!$C$7),"x",""))))</f>
        <v/>
      </c>
      <c r="I720" s="13" t="str">
        <f>IF(H720="x",COUNT($I$1:I719)+1,"")</f>
        <v/>
      </c>
    </row>
    <row r="721" spans="1:9" x14ac:dyDescent="0.25">
      <c r="A721" s="27"/>
      <c r="B721" s="28"/>
      <c r="C721" s="29"/>
      <c r="D721" s="29"/>
      <c r="E721" s="28"/>
      <c r="F721" s="13" t="str">
        <f>IF(A721="","",IF(A721=Agendamento!$C$3,"x",""))</f>
        <v/>
      </c>
      <c r="G721" s="13" t="str">
        <f>IF(A721="","",IF(E721=Agendamento!$C$7,"x",""))</f>
        <v/>
      </c>
      <c r="H721" s="13" t="str">
        <f>IF(A721="","",IF(AND(Agendamento!$C$3="",Agendamento!$C$7&lt;&gt;""),IF(Agendamento!$C$7='Base de Dados'!E721,"x",""),IF(AND(Agendamento!$C$3&lt;&gt;"",Agendamento!$C$7=""),IF(Agendamento!$C$3='Base de Dados'!A721,"x",""),IF(AND(Agendamento!$C$3='Base de Dados'!A721,'Base de Dados'!E721=Agendamento!$C$7),"x",""))))</f>
        <v/>
      </c>
      <c r="I721" s="13" t="str">
        <f>IF(H721="x",COUNT($I$1:I720)+1,"")</f>
        <v/>
      </c>
    </row>
    <row r="722" spans="1:9" x14ac:dyDescent="0.25">
      <c r="A722" s="27"/>
      <c r="B722" s="28"/>
      <c r="C722" s="29"/>
      <c r="D722" s="29"/>
      <c r="E722" s="28"/>
      <c r="F722" s="13" t="str">
        <f>IF(A722="","",IF(A722=Agendamento!$C$3,"x",""))</f>
        <v/>
      </c>
      <c r="G722" s="13" t="str">
        <f>IF(A722="","",IF(E722=Agendamento!$C$7,"x",""))</f>
        <v/>
      </c>
      <c r="H722" s="13" t="str">
        <f>IF(A722="","",IF(AND(Agendamento!$C$3="",Agendamento!$C$7&lt;&gt;""),IF(Agendamento!$C$7='Base de Dados'!E722,"x",""),IF(AND(Agendamento!$C$3&lt;&gt;"",Agendamento!$C$7=""),IF(Agendamento!$C$3='Base de Dados'!A722,"x",""),IF(AND(Agendamento!$C$3='Base de Dados'!A722,'Base de Dados'!E722=Agendamento!$C$7),"x",""))))</f>
        <v/>
      </c>
      <c r="I722" s="13" t="str">
        <f>IF(H722="x",COUNT($I$1:I721)+1,"")</f>
        <v/>
      </c>
    </row>
    <row r="723" spans="1:9" x14ac:dyDescent="0.25">
      <c r="A723" s="27"/>
      <c r="B723" s="28"/>
      <c r="C723" s="29"/>
      <c r="D723" s="29"/>
      <c r="E723" s="28"/>
      <c r="F723" s="13" t="str">
        <f>IF(A723="","",IF(A723=Agendamento!$C$3,"x",""))</f>
        <v/>
      </c>
      <c r="G723" s="13" t="str">
        <f>IF(A723="","",IF(E723=Agendamento!$C$7,"x",""))</f>
        <v/>
      </c>
      <c r="H723" s="13" t="str">
        <f>IF(A723="","",IF(AND(Agendamento!$C$3="",Agendamento!$C$7&lt;&gt;""),IF(Agendamento!$C$7='Base de Dados'!E723,"x",""),IF(AND(Agendamento!$C$3&lt;&gt;"",Agendamento!$C$7=""),IF(Agendamento!$C$3='Base de Dados'!A723,"x",""),IF(AND(Agendamento!$C$3='Base de Dados'!A723,'Base de Dados'!E723=Agendamento!$C$7),"x",""))))</f>
        <v/>
      </c>
      <c r="I723" s="13" t="str">
        <f>IF(H723="x",COUNT($I$1:I722)+1,"")</f>
        <v/>
      </c>
    </row>
    <row r="724" spans="1:9" x14ac:dyDescent="0.25">
      <c r="A724" s="27"/>
      <c r="B724" s="28"/>
      <c r="C724" s="29"/>
      <c r="D724" s="29"/>
      <c r="E724" s="28"/>
      <c r="F724" s="13" t="str">
        <f>IF(A724="","",IF(A724=Agendamento!$C$3,"x",""))</f>
        <v/>
      </c>
      <c r="G724" s="13" t="str">
        <f>IF(A724="","",IF(E724=Agendamento!$C$7,"x",""))</f>
        <v/>
      </c>
      <c r="H724" s="13" t="str">
        <f>IF(A724="","",IF(AND(Agendamento!$C$3="",Agendamento!$C$7&lt;&gt;""),IF(Agendamento!$C$7='Base de Dados'!E724,"x",""),IF(AND(Agendamento!$C$3&lt;&gt;"",Agendamento!$C$7=""),IF(Agendamento!$C$3='Base de Dados'!A724,"x",""),IF(AND(Agendamento!$C$3='Base de Dados'!A724,'Base de Dados'!E724=Agendamento!$C$7),"x",""))))</f>
        <v/>
      </c>
      <c r="I724" s="13" t="str">
        <f>IF(H724="x",COUNT($I$1:I723)+1,"")</f>
        <v/>
      </c>
    </row>
    <row r="725" spans="1:9" x14ac:dyDescent="0.25">
      <c r="A725" s="27"/>
      <c r="B725" s="28"/>
      <c r="C725" s="29"/>
      <c r="D725" s="29"/>
      <c r="E725" s="28"/>
      <c r="F725" s="13" t="str">
        <f>IF(A725="","",IF(A725=Agendamento!$C$3,"x",""))</f>
        <v/>
      </c>
      <c r="G725" s="13" t="str">
        <f>IF(A725="","",IF(E725=Agendamento!$C$7,"x",""))</f>
        <v/>
      </c>
      <c r="H725" s="13" t="str">
        <f>IF(A725="","",IF(AND(Agendamento!$C$3="",Agendamento!$C$7&lt;&gt;""),IF(Agendamento!$C$7='Base de Dados'!E725,"x",""),IF(AND(Agendamento!$C$3&lt;&gt;"",Agendamento!$C$7=""),IF(Agendamento!$C$3='Base de Dados'!A725,"x",""),IF(AND(Agendamento!$C$3='Base de Dados'!A725,'Base de Dados'!E725=Agendamento!$C$7),"x",""))))</f>
        <v/>
      </c>
      <c r="I725" s="13" t="str">
        <f>IF(H725="x",COUNT($I$1:I724)+1,"")</f>
        <v/>
      </c>
    </row>
    <row r="726" spans="1:9" x14ac:dyDescent="0.25">
      <c r="A726" s="27"/>
      <c r="B726" s="28"/>
      <c r="C726" s="29"/>
      <c r="D726" s="29"/>
      <c r="E726" s="28"/>
      <c r="F726" s="13" t="str">
        <f>IF(A726="","",IF(A726=Agendamento!$C$3,"x",""))</f>
        <v/>
      </c>
      <c r="G726" s="13" t="str">
        <f>IF(A726="","",IF(E726=Agendamento!$C$7,"x",""))</f>
        <v/>
      </c>
      <c r="H726" s="13" t="str">
        <f>IF(A726="","",IF(AND(Agendamento!$C$3="",Agendamento!$C$7&lt;&gt;""),IF(Agendamento!$C$7='Base de Dados'!E726,"x",""),IF(AND(Agendamento!$C$3&lt;&gt;"",Agendamento!$C$7=""),IF(Agendamento!$C$3='Base de Dados'!A726,"x",""),IF(AND(Agendamento!$C$3='Base de Dados'!A726,'Base de Dados'!E726=Agendamento!$C$7),"x",""))))</f>
        <v/>
      </c>
      <c r="I726" s="13" t="str">
        <f>IF(H726="x",COUNT($I$1:I725)+1,"")</f>
        <v/>
      </c>
    </row>
    <row r="727" spans="1:9" x14ac:dyDescent="0.25">
      <c r="A727" s="27"/>
      <c r="B727" s="28"/>
      <c r="C727" s="29"/>
      <c r="D727" s="29"/>
      <c r="E727" s="28"/>
      <c r="F727" s="13" t="str">
        <f>IF(A727="","",IF(A727=Agendamento!$C$3,"x",""))</f>
        <v/>
      </c>
      <c r="G727" s="13" t="str">
        <f>IF(A727="","",IF(E727=Agendamento!$C$7,"x",""))</f>
        <v/>
      </c>
      <c r="H727" s="13" t="str">
        <f>IF(A727="","",IF(AND(Agendamento!$C$3="",Agendamento!$C$7&lt;&gt;""),IF(Agendamento!$C$7='Base de Dados'!E727,"x",""),IF(AND(Agendamento!$C$3&lt;&gt;"",Agendamento!$C$7=""),IF(Agendamento!$C$3='Base de Dados'!A727,"x",""),IF(AND(Agendamento!$C$3='Base de Dados'!A727,'Base de Dados'!E727=Agendamento!$C$7),"x",""))))</f>
        <v/>
      </c>
      <c r="I727" s="13" t="str">
        <f>IF(H727="x",COUNT($I$1:I726)+1,"")</f>
        <v/>
      </c>
    </row>
    <row r="728" spans="1:9" x14ac:dyDescent="0.25">
      <c r="A728" s="27"/>
      <c r="B728" s="28"/>
      <c r="C728" s="29"/>
      <c r="D728" s="29"/>
      <c r="E728" s="28"/>
      <c r="F728" s="13" t="str">
        <f>IF(A728="","",IF(A728=Agendamento!$C$3,"x",""))</f>
        <v/>
      </c>
      <c r="G728" s="13" t="str">
        <f>IF(A728="","",IF(E728=Agendamento!$C$7,"x",""))</f>
        <v/>
      </c>
      <c r="H728" s="13" t="str">
        <f>IF(A728="","",IF(AND(Agendamento!$C$3="",Agendamento!$C$7&lt;&gt;""),IF(Agendamento!$C$7='Base de Dados'!E728,"x",""),IF(AND(Agendamento!$C$3&lt;&gt;"",Agendamento!$C$7=""),IF(Agendamento!$C$3='Base de Dados'!A728,"x",""),IF(AND(Agendamento!$C$3='Base de Dados'!A728,'Base de Dados'!E728=Agendamento!$C$7),"x",""))))</f>
        <v/>
      </c>
      <c r="I728" s="13" t="str">
        <f>IF(H728="x",COUNT($I$1:I727)+1,"")</f>
        <v/>
      </c>
    </row>
    <row r="729" spans="1:9" x14ac:dyDescent="0.25">
      <c r="A729" s="27"/>
      <c r="B729" s="28"/>
      <c r="C729" s="29"/>
      <c r="D729" s="29"/>
      <c r="E729" s="28"/>
      <c r="F729" s="13" t="str">
        <f>IF(A729="","",IF(A729=Agendamento!$C$3,"x",""))</f>
        <v/>
      </c>
      <c r="G729" s="13" t="str">
        <f>IF(A729="","",IF(E729=Agendamento!$C$7,"x",""))</f>
        <v/>
      </c>
      <c r="H729" s="13" t="str">
        <f>IF(A729="","",IF(AND(Agendamento!$C$3="",Agendamento!$C$7&lt;&gt;""),IF(Agendamento!$C$7='Base de Dados'!E729,"x",""),IF(AND(Agendamento!$C$3&lt;&gt;"",Agendamento!$C$7=""),IF(Agendamento!$C$3='Base de Dados'!A729,"x",""),IF(AND(Agendamento!$C$3='Base de Dados'!A729,'Base de Dados'!E729=Agendamento!$C$7),"x",""))))</f>
        <v/>
      </c>
      <c r="I729" s="13" t="str">
        <f>IF(H729="x",COUNT($I$1:I728)+1,"")</f>
        <v/>
      </c>
    </row>
    <row r="730" spans="1:9" x14ac:dyDescent="0.25">
      <c r="A730" s="27"/>
      <c r="B730" s="28"/>
      <c r="C730" s="29"/>
      <c r="D730" s="29"/>
      <c r="E730" s="28"/>
      <c r="F730" s="13" t="str">
        <f>IF(A730="","",IF(A730=Agendamento!$C$3,"x",""))</f>
        <v/>
      </c>
      <c r="G730" s="13" t="str">
        <f>IF(A730="","",IF(E730=Agendamento!$C$7,"x",""))</f>
        <v/>
      </c>
      <c r="H730" s="13" t="str">
        <f>IF(A730="","",IF(AND(Agendamento!$C$3="",Agendamento!$C$7&lt;&gt;""),IF(Agendamento!$C$7='Base de Dados'!E730,"x",""),IF(AND(Agendamento!$C$3&lt;&gt;"",Agendamento!$C$7=""),IF(Agendamento!$C$3='Base de Dados'!A730,"x",""),IF(AND(Agendamento!$C$3='Base de Dados'!A730,'Base de Dados'!E730=Agendamento!$C$7),"x",""))))</f>
        <v/>
      </c>
      <c r="I730" s="13" t="str">
        <f>IF(H730="x",COUNT($I$1:I729)+1,"")</f>
        <v/>
      </c>
    </row>
    <row r="731" spans="1:9" x14ac:dyDescent="0.25">
      <c r="A731" s="27"/>
      <c r="B731" s="28"/>
      <c r="C731" s="29"/>
      <c r="D731" s="29"/>
      <c r="E731" s="28"/>
      <c r="F731" s="13" t="str">
        <f>IF(A731="","",IF(A731=Agendamento!$C$3,"x",""))</f>
        <v/>
      </c>
      <c r="G731" s="13" t="str">
        <f>IF(A731="","",IF(E731=Agendamento!$C$7,"x",""))</f>
        <v/>
      </c>
      <c r="H731" s="13" t="str">
        <f>IF(A731="","",IF(AND(Agendamento!$C$3="",Agendamento!$C$7&lt;&gt;""),IF(Agendamento!$C$7='Base de Dados'!E731,"x",""),IF(AND(Agendamento!$C$3&lt;&gt;"",Agendamento!$C$7=""),IF(Agendamento!$C$3='Base de Dados'!A731,"x",""),IF(AND(Agendamento!$C$3='Base de Dados'!A731,'Base de Dados'!E731=Agendamento!$C$7),"x",""))))</f>
        <v/>
      </c>
      <c r="I731" s="13" t="str">
        <f>IF(H731="x",COUNT($I$1:I730)+1,"")</f>
        <v/>
      </c>
    </row>
    <row r="732" spans="1:9" x14ac:dyDescent="0.25">
      <c r="A732" s="27"/>
      <c r="B732" s="28"/>
      <c r="C732" s="29"/>
      <c r="D732" s="29"/>
      <c r="E732" s="28"/>
      <c r="F732" s="13" t="str">
        <f>IF(A732="","",IF(A732=Agendamento!$C$3,"x",""))</f>
        <v/>
      </c>
      <c r="G732" s="13" t="str">
        <f>IF(A732="","",IF(E732=Agendamento!$C$7,"x",""))</f>
        <v/>
      </c>
      <c r="H732" s="13" t="str">
        <f>IF(A732="","",IF(AND(Agendamento!$C$3="",Agendamento!$C$7&lt;&gt;""),IF(Agendamento!$C$7='Base de Dados'!E732,"x",""),IF(AND(Agendamento!$C$3&lt;&gt;"",Agendamento!$C$7=""),IF(Agendamento!$C$3='Base de Dados'!A732,"x",""),IF(AND(Agendamento!$C$3='Base de Dados'!A732,'Base de Dados'!E732=Agendamento!$C$7),"x",""))))</f>
        <v/>
      </c>
      <c r="I732" s="13" t="str">
        <f>IF(H732="x",COUNT($I$1:I731)+1,"")</f>
        <v/>
      </c>
    </row>
    <row r="733" spans="1:9" x14ac:dyDescent="0.25">
      <c r="A733" s="27"/>
      <c r="B733" s="28"/>
      <c r="C733" s="29"/>
      <c r="D733" s="29"/>
      <c r="E733" s="28"/>
      <c r="F733" s="13" t="str">
        <f>IF(A733="","",IF(A733=Agendamento!$C$3,"x",""))</f>
        <v/>
      </c>
      <c r="G733" s="13" t="str">
        <f>IF(A733="","",IF(E733=Agendamento!$C$7,"x",""))</f>
        <v/>
      </c>
      <c r="H733" s="13" t="str">
        <f>IF(A733="","",IF(AND(Agendamento!$C$3="",Agendamento!$C$7&lt;&gt;""),IF(Agendamento!$C$7='Base de Dados'!E733,"x",""),IF(AND(Agendamento!$C$3&lt;&gt;"",Agendamento!$C$7=""),IF(Agendamento!$C$3='Base de Dados'!A733,"x",""),IF(AND(Agendamento!$C$3='Base de Dados'!A733,'Base de Dados'!E733=Agendamento!$C$7),"x",""))))</f>
        <v/>
      </c>
      <c r="I733" s="13" t="str">
        <f>IF(H733="x",COUNT($I$1:I732)+1,"")</f>
        <v/>
      </c>
    </row>
    <row r="734" spans="1:9" x14ac:dyDescent="0.25">
      <c r="A734" s="27"/>
      <c r="B734" s="28"/>
      <c r="C734" s="29"/>
      <c r="D734" s="29"/>
      <c r="E734" s="28"/>
      <c r="F734" s="13" t="str">
        <f>IF(A734="","",IF(A734=Agendamento!$C$3,"x",""))</f>
        <v/>
      </c>
      <c r="G734" s="13" t="str">
        <f>IF(A734="","",IF(E734=Agendamento!$C$7,"x",""))</f>
        <v/>
      </c>
      <c r="H734" s="13" t="str">
        <f>IF(A734="","",IF(AND(Agendamento!$C$3="",Agendamento!$C$7&lt;&gt;""),IF(Agendamento!$C$7='Base de Dados'!E734,"x",""),IF(AND(Agendamento!$C$3&lt;&gt;"",Agendamento!$C$7=""),IF(Agendamento!$C$3='Base de Dados'!A734,"x",""),IF(AND(Agendamento!$C$3='Base de Dados'!A734,'Base de Dados'!E734=Agendamento!$C$7),"x",""))))</f>
        <v/>
      </c>
      <c r="I734" s="13" t="str">
        <f>IF(H734="x",COUNT($I$1:I733)+1,"")</f>
        <v/>
      </c>
    </row>
    <row r="735" spans="1:9" x14ac:dyDescent="0.25">
      <c r="A735" s="27"/>
      <c r="B735" s="28"/>
      <c r="C735" s="29"/>
      <c r="D735" s="29"/>
      <c r="E735" s="28"/>
      <c r="F735" s="13" t="str">
        <f>IF(A735="","",IF(A735=Agendamento!$C$3,"x",""))</f>
        <v/>
      </c>
      <c r="G735" s="13" t="str">
        <f>IF(A735="","",IF(E735=Agendamento!$C$7,"x",""))</f>
        <v/>
      </c>
      <c r="H735" s="13" t="str">
        <f>IF(A735="","",IF(AND(Agendamento!$C$3="",Agendamento!$C$7&lt;&gt;""),IF(Agendamento!$C$7='Base de Dados'!E735,"x",""),IF(AND(Agendamento!$C$3&lt;&gt;"",Agendamento!$C$7=""),IF(Agendamento!$C$3='Base de Dados'!A735,"x",""),IF(AND(Agendamento!$C$3='Base de Dados'!A735,'Base de Dados'!E735=Agendamento!$C$7),"x",""))))</f>
        <v/>
      </c>
      <c r="I735" s="13" t="str">
        <f>IF(H735="x",COUNT($I$1:I734)+1,"")</f>
        <v/>
      </c>
    </row>
    <row r="736" spans="1:9" x14ac:dyDescent="0.25">
      <c r="A736" s="27"/>
      <c r="B736" s="28"/>
      <c r="C736" s="29"/>
      <c r="D736" s="29"/>
      <c r="E736" s="28"/>
      <c r="F736" s="13" t="str">
        <f>IF(A736="","",IF(A736=Agendamento!$C$3,"x",""))</f>
        <v/>
      </c>
      <c r="G736" s="13" t="str">
        <f>IF(A736="","",IF(E736=Agendamento!$C$7,"x",""))</f>
        <v/>
      </c>
      <c r="H736" s="13" t="str">
        <f>IF(A736="","",IF(AND(Agendamento!$C$3="",Agendamento!$C$7&lt;&gt;""),IF(Agendamento!$C$7='Base de Dados'!E736,"x",""),IF(AND(Agendamento!$C$3&lt;&gt;"",Agendamento!$C$7=""),IF(Agendamento!$C$3='Base de Dados'!A736,"x",""),IF(AND(Agendamento!$C$3='Base de Dados'!A736,'Base de Dados'!E736=Agendamento!$C$7),"x",""))))</f>
        <v/>
      </c>
      <c r="I736" s="13" t="str">
        <f>IF(H736="x",COUNT($I$1:I735)+1,"")</f>
        <v/>
      </c>
    </row>
    <row r="737" spans="1:9" x14ac:dyDescent="0.25">
      <c r="A737" s="27"/>
      <c r="B737" s="28"/>
      <c r="C737" s="29"/>
      <c r="D737" s="29"/>
      <c r="E737" s="28"/>
      <c r="F737" s="13" t="str">
        <f>IF(A737="","",IF(A737=Agendamento!$C$3,"x",""))</f>
        <v/>
      </c>
      <c r="G737" s="13" t="str">
        <f>IF(A737="","",IF(E737=Agendamento!$C$7,"x",""))</f>
        <v/>
      </c>
      <c r="H737" s="13" t="str">
        <f>IF(A737="","",IF(AND(Agendamento!$C$3="",Agendamento!$C$7&lt;&gt;""),IF(Agendamento!$C$7='Base de Dados'!E737,"x",""),IF(AND(Agendamento!$C$3&lt;&gt;"",Agendamento!$C$7=""),IF(Agendamento!$C$3='Base de Dados'!A737,"x",""),IF(AND(Agendamento!$C$3='Base de Dados'!A737,'Base de Dados'!E737=Agendamento!$C$7),"x",""))))</f>
        <v/>
      </c>
      <c r="I737" s="13" t="str">
        <f>IF(H737="x",COUNT($I$1:I736)+1,"")</f>
        <v/>
      </c>
    </row>
    <row r="738" spans="1:9" x14ac:dyDescent="0.25">
      <c r="A738" s="27"/>
      <c r="B738" s="28"/>
      <c r="C738" s="29"/>
      <c r="D738" s="29"/>
      <c r="E738" s="28"/>
      <c r="F738" s="13" t="str">
        <f>IF(A738="","",IF(A738=Agendamento!$C$3,"x",""))</f>
        <v/>
      </c>
      <c r="G738" s="13" t="str">
        <f>IF(A738="","",IF(E738=Agendamento!$C$7,"x",""))</f>
        <v/>
      </c>
      <c r="H738" s="13" t="str">
        <f>IF(A738="","",IF(AND(Agendamento!$C$3="",Agendamento!$C$7&lt;&gt;""),IF(Agendamento!$C$7='Base de Dados'!E738,"x",""),IF(AND(Agendamento!$C$3&lt;&gt;"",Agendamento!$C$7=""),IF(Agendamento!$C$3='Base de Dados'!A738,"x",""),IF(AND(Agendamento!$C$3='Base de Dados'!A738,'Base de Dados'!E738=Agendamento!$C$7),"x",""))))</f>
        <v/>
      </c>
      <c r="I738" s="13" t="str">
        <f>IF(H738="x",COUNT($I$1:I737)+1,"")</f>
        <v/>
      </c>
    </row>
    <row r="739" spans="1:9" x14ac:dyDescent="0.25">
      <c r="A739" s="27"/>
      <c r="B739" s="28"/>
      <c r="C739" s="29"/>
      <c r="D739" s="29"/>
      <c r="E739" s="28"/>
      <c r="F739" s="13" t="str">
        <f>IF(A739="","",IF(A739=Agendamento!$C$3,"x",""))</f>
        <v/>
      </c>
      <c r="G739" s="13" t="str">
        <f>IF(A739="","",IF(E739=Agendamento!$C$7,"x",""))</f>
        <v/>
      </c>
      <c r="H739" s="13" t="str">
        <f>IF(A739="","",IF(AND(Agendamento!$C$3="",Agendamento!$C$7&lt;&gt;""),IF(Agendamento!$C$7='Base de Dados'!E739,"x",""),IF(AND(Agendamento!$C$3&lt;&gt;"",Agendamento!$C$7=""),IF(Agendamento!$C$3='Base de Dados'!A739,"x",""),IF(AND(Agendamento!$C$3='Base de Dados'!A739,'Base de Dados'!E739=Agendamento!$C$7),"x",""))))</f>
        <v/>
      </c>
      <c r="I739" s="13" t="str">
        <f>IF(H739="x",COUNT($I$1:I738)+1,"")</f>
        <v/>
      </c>
    </row>
    <row r="740" spans="1:9" x14ac:dyDescent="0.25">
      <c r="A740" s="27"/>
      <c r="B740" s="28"/>
      <c r="C740" s="29"/>
      <c r="D740" s="29"/>
      <c r="E740" s="28"/>
      <c r="F740" s="13" t="str">
        <f>IF(A740="","",IF(A740=Agendamento!$C$3,"x",""))</f>
        <v/>
      </c>
      <c r="G740" s="13" t="str">
        <f>IF(A740="","",IF(E740=Agendamento!$C$7,"x",""))</f>
        <v/>
      </c>
      <c r="H740" s="13" t="str">
        <f>IF(A740="","",IF(AND(Agendamento!$C$3="",Agendamento!$C$7&lt;&gt;""),IF(Agendamento!$C$7='Base de Dados'!E740,"x",""),IF(AND(Agendamento!$C$3&lt;&gt;"",Agendamento!$C$7=""),IF(Agendamento!$C$3='Base de Dados'!A740,"x",""),IF(AND(Agendamento!$C$3='Base de Dados'!A740,'Base de Dados'!E740=Agendamento!$C$7),"x",""))))</f>
        <v/>
      </c>
      <c r="I740" s="13" t="str">
        <f>IF(H740="x",COUNT($I$1:I739)+1,"")</f>
        <v/>
      </c>
    </row>
    <row r="741" spans="1:9" x14ac:dyDescent="0.25">
      <c r="A741" s="27"/>
      <c r="B741" s="28"/>
      <c r="C741" s="29"/>
      <c r="D741" s="29"/>
      <c r="E741" s="28"/>
      <c r="F741" s="13" t="str">
        <f>IF(A741="","",IF(A741=Agendamento!$C$3,"x",""))</f>
        <v/>
      </c>
      <c r="G741" s="13" t="str">
        <f>IF(A741="","",IF(E741=Agendamento!$C$7,"x",""))</f>
        <v/>
      </c>
      <c r="H741" s="13" t="str">
        <f>IF(A741="","",IF(AND(Agendamento!$C$3="",Agendamento!$C$7&lt;&gt;""),IF(Agendamento!$C$7='Base de Dados'!E741,"x",""),IF(AND(Agendamento!$C$3&lt;&gt;"",Agendamento!$C$7=""),IF(Agendamento!$C$3='Base de Dados'!A741,"x",""),IF(AND(Agendamento!$C$3='Base de Dados'!A741,'Base de Dados'!E741=Agendamento!$C$7),"x",""))))</f>
        <v/>
      </c>
      <c r="I741" s="13" t="str">
        <f>IF(H741="x",COUNT($I$1:I740)+1,"")</f>
        <v/>
      </c>
    </row>
    <row r="742" spans="1:9" x14ac:dyDescent="0.25">
      <c r="A742" s="27"/>
      <c r="B742" s="28"/>
      <c r="C742" s="29"/>
      <c r="D742" s="29"/>
      <c r="E742" s="28"/>
      <c r="F742" s="13" t="str">
        <f>IF(A742="","",IF(A742=Agendamento!$C$3,"x",""))</f>
        <v/>
      </c>
      <c r="G742" s="13" t="str">
        <f>IF(A742="","",IF(E742=Agendamento!$C$7,"x",""))</f>
        <v/>
      </c>
      <c r="H742" s="13" t="str">
        <f>IF(A742="","",IF(AND(Agendamento!$C$3="",Agendamento!$C$7&lt;&gt;""),IF(Agendamento!$C$7='Base de Dados'!E742,"x",""),IF(AND(Agendamento!$C$3&lt;&gt;"",Agendamento!$C$7=""),IF(Agendamento!$C$3='Base de Dados'!A742,"x",""),IF(AND(Agendamento!$C$3='Base de Dados'!A742,'Base de Dados'!E742=Agendamento!$C$7),"x",""))))</f>
        <v/>
      </c>
      <c r="I742" s="13" t="str">
        <f>IF(H742="x",COUNT($I$1:I741)+1,"")</f>
        <v/>
      </c>
    </row>
    <row r="743" spans="1:9" x14ac:dyDescent="0.25">
      <c r="A743" s="27"/>
      <c r="B743" s="28"/>
      <c r="C743" s="29"/>
      <c r="D743" s="29"/>
      <c r="E743" s="28"/>
      <c r="F743" s="13" t="str">
        <f>IF(A743="","",IF(A743=Agendamento!$C$3,"x",""))</f>
        <v/>
      </c>
      <c r="G743" s="13" t="str">
        <f>IF(A743="","",IF(E743=Agendamento!$C$7,"x",""))</f>
        <v/>
      </c>
      <c r="H743" s="13" t="str">
        <f>IF(A743="","",IF(AND(Agendamento!$C$3="",Agendamento!$C$7&lt;&gt;""),IF(Agendamento!$C$7='Base de Dados'!E743,"x",""),IF(AND(Agendamento!$C$3&lt;&gt;"",Agendamento!$C$7=""),IF(Agendamento!$C$3='Base de Dados'!A743,"x",""),IF(AND(Agendamento!$C$3='Base de Dados'!A743,'Base de Dados'!E743=Agendamento!$C$7),"x",""))))</f>
        <v/>
      </c>
      <c r="I743" s="13" t="str">
        <f>IF(H743="x",COUNT($I$1:I742)+1,"")</f>
        <v/>
      </c>
    </row>
    <row r="744" spans="1:9" x14ac:dyDescent="0.25">
      <c r="A744" s="27"/>
      <c r="B744" s="28"/>
      <c r="C744" s="29"/>
      <c r="D744" s="29"/>
      <c r="E744" s="28"/>
      <c r="F744" s="13" t="str">
        <f>IF(A744="","",IF(A744=Agendamento!$C$3,"x",""))</f>
        <v/>
      </c>
      <c r="G744" s="13" t="str">
        <f>IF(A744="","",IF(E744=Agendamento!$C$7,"x",""))</f>
        <v/>
      </c>
      <c r="H744" s="13" t="str">
        <f>IF(A744="","",IF(AND(Agendamento!$C$3="",Agendamento!$C$7&lt;&gt;""),IF(Agendamento!$C$7='Base de Dados'!E744,"x",""),IF(AND(Agendamento!$C$3&lt;&gt;"",Agendamento!$C$7=""),IF(Agendamento!$C$3='Base de Dados'!A744,"x",""),IF(AND(Agendamento!$C$3='Base de Dados'!A744,'Base de Dados'!E744=Agendamento!$C$7),"x",""))))</f>
        <v/>
      </c>
      <c r="I744" s="13" t="str">
        <f>IF(H744="x",COUNT($I$1:I743)+1,"")</f>
        <v/>
      </c>
    </row>
    <row r="745" spans="1:9" x14ac:dyDescent="0.25">
      <c r="A745" s="27"/>
      <c r="B745" s="28"/>
      <c r="C745" s="29"/>
      <c r="D745" s="29"/>
      <c r="E745" s="28"/>
      <c r="F745" s="13" t="str">
        <f>IF(A745="","",IF(A745=Agendamento!$C$3,"x",""))</f>
        <v/>
      </c>
      <c r="G745" s="13" t="str">
        <f>IF(A745="","",IF(E745=Agendamento!$C$7,"x",""))</f>
        <v/>
      </c>
      <c r="H745" s="13" t="str">
        <f>IF(A745="","",IF(AND(Agendamento!$C$3="",Agendamento!$C$7&lt;&gt;""),IF(Agendamento!$C$7='Base de Dados'!E745,"x",""),IF(AND(Agendamento!$C$3&lt;&gt;"",Agendamento!$C$7=""),IF(Agendamento!$C$3='Base de Dados'!A745,"x",""),IF(AND(Agendamento!$C$3='Base de Dados'!A745,'Base de Dados'!E745=Agendamento!$C$7),"x",""))))</f>
        <v/>
      </c>
      <c r="I745" s="13" t="str">
        <f>IF(H745="x",COUNT($I$1:I744)+1,"")</f>
        <v/>
      </c>
    </row>
    <row r="746" spans="1:9" x14ac:dyDescent="0.25">
      <c r="A746" s="27"/>
      <c r="B746" s="28"/>
      <c r="C746" s="29"/>
      <c r="D746" s="29"/>
      <c r="E746" s="28"/>
      <c r="F746" s="13" t="str">
        <f>IF(A746="","",IF(A746=Agendamento!$C$3,"x",""))</f>
        <v/>
      </c>
      <c r="G746" s="13" t="str">
        <f>IF(A746="","",IF(E746=Agendamento!$C$7,"x",""))</f>
        <v/>
      </c>
      <c r="H746" s="13" t="str">
        <f>IF(A746="","",IF(AND(Agendamento!$C$3="",Agendamento!$C$7&lt;&gt;""),IF(Agendamento!$C$7='Base de Dados'!E746,"x",""),IF(AND(Agendamento!$C$3&lt;&gt;"",Agendamento!$C$7=""),IF(Agendamento!$C$3='Base de Dados'!A746,"x",""),IF(AND(Agendamento!$C$3='Base de Dados'!A746,'Base de Dados'!E746=Agendamento!$C$7),"x",""))))</f>
        <v/>
      </c>
      <c r="I746" s="13" t="str">
        <f>IF(H746="x",COUNT($I$1:I745)+1,"")</f>
        <v/>
      </c>
    </row>
    <row r="747" spans="1:9" x14ac:dyDescent="0.25">
      <c r="A747" s="27"/>
      <c r="B747" s="28"/>
      <c r="C747" s="29"/>
      <c r="D747" s="29"/>
      <c r="E747" s="28"/>
      <c r="F747" s="13" t="str">
        <f>IF(A747="","",IF(A747=Agendamento!$C$3,"x",""))</f>
        <v/>
      </c>
      <c r="G747" s="13" t="str">
        <f>IF(A747="","",IF(E747=Agendamento!$C$7,"x",""))</f>
        <v/>
      </c>
      <c r="H747" s="13" t="str">
        <f>IF(A747="","",IF(AND(Agendamento!$C$3="",Agendamento!$C$7&lt;&gt;""),IF(Agendamento!$C$7='Base de Dados'!E747,"x",""),IF(AND(Agendamento!$C$3&lt;&gt;"",Agendamento!$C$7=""),IF(Agendamento!$C$3='Base de Dados'!A747,"x",""),IF(AND(Agendamento!$C$3='Base de Dados'!A747,'Base de Dados'!E747=Agendamento!$C$7),"x",""))))</f>
        <v/>
      </c>
      <c r="I747" s="13" t="str">
        <f>IF(H747="x",COUNT($I$1:I746)+1,"")</f>
        <v/>
      </c>
    </row>
    <row r="748" spans="1:9" x14ac:dyDescent="0.25">
      <c r="A748" s="27"/>
      <c r="B748" s="28"/>
      <c r="C748" s="29"/>
      <c r="D748" s="29"/>
      <c r="E748" s="28"/>
      <c r="F748" s="13" t="str">
        <f>IF(A748="","",IF(A748=Agendamento!$C$3,"x",""))</f>
        <v/>
      </c>
      <c r="G748" s="13" t="str">
        <f>IF(A748="","",IF(E748=Agendamento!$C$7,"x",""))</f>
        <v/>
      </c>
      <c r="H748" s="13" t="str">
        <f>IF(A748="","",IF(AND(Agendamento!$C$3="",Agendamento!$C$7&lt;&gt;""),IF(Agendamento!$C$7='Base de Dados'!E748,"x",""),IF(AND(Agendamento!$C$3&lt;&gt;"",Agendamento!$C$7=""),IF(Agendamento!$C$3='Base de Dados'!A748,"x",""),IF(AND(Agendamento!$C$3='Base de Dados'!A748,'Base de Dados'!E748=Agendamento!$C$7),"x",""))))</f>
        <v/>
      </c>
      <c r="I748" s="13" t="str">
        <f>IF(H748="x",COUNT($I$1:I747)+1,"")</f>
        <v/>
      </c>
    </row>
    <row r="749" spans="1:9" x14ac:dyDescent="0.25">
      <c r="A749" s="27"/>
      <c r="B749" s="28"/>
      <c r="C749" s="29"/>
      <c r="D749" s="29"/>
      <c r="E749" s="28"/>
      <c r="F749" s="13" t="str">
        <f>IF(A749="","",IF(A749=Agendamento!$C$3,"x",""))</f>
        <v/>
      </c>
      <c r="G749" s="13" t="str">
        <f>IF(A749="","",IF(E749=Agendamento!$C$7,"x",""))</f>
        <v/>
      </c>
      <c r="H749" s="13" t="str">
        <f>IF(A749="","",IF(AND(Agendamento!$C$3="",Agendamento!$C$7&lt;&gt;""),IF(Agendamento!$C$7='Base de Dados'!E749,"x",""),IF(AND(Agendamento!$C$3&lt;&gt;"",Agendamento!$C$7=""),IF(Agendamento!$C$3='Base de Dados'!A749,"x",""),IF(AND(Agendamento!$C$3='Base de Dados'!A749,'Base de Dados'!E749=Agendamento!$C$7),"x",""))))</f>
        <v/>
      </c>
      <c r="I749" s="13" t="str">
        <f>IF(H749="x",COUNT($I$1:I748)+1,"")</f>
        <v/>
      </c>
    </row>
    <row r="750" spans="1:9" x14ac:dyDescent="0.25">
      <c r="A750" s="27"/>
      <c r="B750" s="28"/>
      <c r="C750" s="29"/>
      <c r="D750" s="29"/>
      <c r="E750" s="28"/>
      <c r="F750" s="13" t="str">
        <f>IF(A750="","",IF(A750=Agendamento!$C$3,"x",""))</f>
        <v/>
      </c>
      <c r="G750" s="13" t="str">
        <f>IF(A750="","",IF(E750=Agendamento!$C$7,"x",""))</f>
        <v/>
      </c>
      <c r="H750" s="13" t="str">
        <f>IF(A750="","",IF(AND(Agendamento!$C$3="",Agendamento!$C$7&lt;&gt;""),IF(Agendamento!$C$7='Base de Dados'!E750,"x",""),IF(AND(Agendamento!$C$3&lt;&gt;"",Agendamento!$C$7=""),IF(Agendamento!$C$3='Base de Dados'!A750,"x",""),IF(AND(Agendamento!$C$3='Base de Dados'!A750,'Base de Dados'!E750=Agendamento!$C$7),"x",""))))</f>
        <v/>
      </c>
      <c r="I750" s="13" t="str">
        <f>IF(H750="x",COUNT($I$1:I749)+1,"")</f>
        <v/>
      </c>
    </row>
    <row r="751" spans="1:9" x14ac:dyDescent="0.25">
      <c r="A751" s="27"/>
      <c r="B751" s="28"/>
      <c r="C751" s="29"/>
      <c r="D751" s="29"/>
      <c r="E751" s="28"/>
      <c r="F751" s="13" t="str">
        <f>IF(A751="","",IF(A751=Agendamento!$C$3,"x",""))</f>
        <v/>
      </c>
      <c r="G751" s="13" t="str">
        <f>IF(A751="","",IF(E751=Agendamento!$C$7,"x",""))</f>
        <v/>
      </c>
      <c r="H751" s="13" t="str">
        <f>IF(A751="","",IF(AND(Agendamento!$C$3="",Agendamento!$C$7&lt;&gt;""),IF(Agendamento!$C$7='Base de Dados'!E751,"x",""),IF(AND(Agendamento!$C$3&lt;&gt;"",Agendamento!$C$7=""),IF(Agendamento!$C$3='Base de Dados'!A751,"x",""),IF(AND(Agendamento!$C$3='Base de Dados'!A751,'Base de Dados'!E751=Agendamento!$C$7),"x",""))))</f>
        <v/>
      </c>
      <c r="I751" s="13" t="str">
        <f>IF(H751="x",COUNT($I$1:I750)+1,"")</f>
        <v/>
      </c>
    </row>
    <row r="752" spans="1:9" x14ac:dyDescent="0.25">
      <c r="A752" s="27"/>
      <c r="B752" s="28"/>
      <c r="C752" s="29"/>
      <c r="D752" s="29"/>
      <c r="E752" s="28"/>
      <c r="F752" s="13" t="str">
        <f>IF(A752="","",IF(A752=Agendamento!$C$3,"x",""))</f>
        <v/>
      </c>
      <c r="G752" s="13" t="str">
        <f>IF(A752="","",IF(E752=Agendamento!$C$7,"x",""))</f>
        <v/>
      </c>
      <c r="H752" s="13" t="str">
        <f>IF(A752="","",IF(AND(Agendamento!$C$3="",Agendamento!$C$7&lt;&gt;""),IF(Agendamento!$C$7='Base de Dados'!E752,"x",""),IF(AND(Agendamento!$C$3&lt;&gt;"",Agendamento!$C$7=""),IF(Agendamento!$C$3='Base de Dados'!A752,"x",""),IF(AND(Agendamento!$C$3='Base de Dados'!A752,'Base de Dados'!E752=Agendamento!$C$7),"x",""))))</f>
        <v/>
      </c>
      <c r="I752" s="13" t="str">
        <f>IF(H752="x",COUNT($I$1:I751)+1,"")</f>
        <v/>
      </c>
    </row>
    <row r="753" spans="1:9" x14ac:dyDescent="0.25">
      <c r="A753" s="27"/>
      <c r="B753" s="28"/>
      <c r="C753" s="29"/>
      <c r="D753" s="29"/>
      <c r="E753" s="28"/>
      <c r="F753" s="13" t="str">
        <f>IF(A753="","",IF(A753=Agendamento!$C$3,"x",""))</f>
        <v/>
      </c>
      <c r="G753" s="13" t="str">
        <f>IF(A753="","",IF(E753=Agendamento!$C$7,"x",""))</f>
        <v/>
      </c>
      <c r="H753" s="13" t="str">
        <f>IF(A753="","",IF(AND(Agendamento!$C$3="",Agendamento!$C$7&lt;&gt;""),IF(Agendamento!$C$7='Base de Dados'!E753,"x",""),IF(AND(Agendamento!$C$3&lt;&gt;"",Agendamento!$C$7=""),IF(Agendamento!$C$3='Base de Dados'!A753,"x",""),IF(AND(Agendamento!$C$3='Base de Dados'!A753,'Base de Dados'!E753=Agendamento!$C$7),"x",""))))</f>
        <v/>
      </c>
      <c r="I753" s="13" t="str">
        <f>IF(H753="x",COUNT($I$1:I752)+1,"")</f>
        <v/>
      </c>
    </row>
    <row r="754" spans="1:9" x14ac:dyDescent="0.25">
      <c r="A754" s="27"/>
      <c r="B754" s="28"/>
      <c r="C754" s="29"/>
      <c r="D754" s="29"/>
      <c r="E754" s="28"/>
      <c r="F754" s="13" t="str">
        <f>IF(A754="","",IF(A754=Agendamento!$C$3,"x",""))</f>
        <v/>
      </c>
      <c r="G754" s="13" t="str">
        <f>IF(A754="","",IF(E754=Agendamento!$C$7,"x",""))</f>
        <v/>
      </c>
      <c r="H754" s="13" t="str">
        <f>IF(A754="","",IF(AND(Agendamento!$C$3="",Agendamento!$C$7&lt;&gt;""),IF(Agendamento!$C$7='Base de Dados'!E754,"x",""),IF(AND(Agendamento!$C$3&lt;&gt;"",Agendamento!$C$7=""),IF(Agendamento!$C$3='Base de Dados'!A754,"x",""),IF(AND(Agendamento!$C$3='Base de Dados'!A754,'Base de Dados'!E754=Agendamento!$C$7),"x",""))))</f>
        <v/>
      </c>
      <c r="I754" s="13" t="str">
        <f>IF(H754="x",COUNT($I$1:I753)+1,"")</f>
        <v/>
      </c>
    </row>
    <row r="755" spans="1:9" x14ac:dyDescent="0.25">
      <c r="A755" s="27"/>
      <c r="B755" s="28"/>
      <c r="C755" s="29"/>
      <c r="D755" s="29"/>
      <c r="E755" s="28"/>
      <c r="F755" s="13" t="str">
        <f>IF(A755="","",IF(A755=Agendamento!$C$3,"x",""))</f>
        <v/>
      </c>
      <c r="G755" s="13" t="str">
        <f>IF(A755="","",IF(E755=Agendamento!$C$7,"x",""))</f>
        <v/>
      </c>
      <c r="H755" s="13" t="str">
        <f>IF(A755="","",IF(AND(Agendamento!$C$3="",Agendamento!$C$7&lt;&gt;""),IF(Agendamento!$C$7='Base de Dados'!E755,"x",""),IF(AND(Agendamento!$C$3&lt;&gt;"",Agendamento!$C$7=""),IF(Agendamento!$C$3='Base de Dados'!A755,"x",""),IF(AND(Agendamento!$C$3='Base de Dados'!A755,'Base de Dados'!E755=Agendamento!$C$7),"x",""))))</f>
        <v/>
      </c>
      <c r="I755" s="13" t="str">
        <f>IF(H755="x",COUNT($I$1:I754)+1,"")</f>
        <v/>
      </c>
    </row>
    <row r="756" spans="1:9" x14ac:dyDescent="0.25">
      <c r="A756" s="27"/>
      <c r="B756" s="28"/>
      <c r="C756" s="29"/>
      <c r="D756" s="29"/>
      <c r="E756" s="28"/>
      <c r="F756" s="13" t="str">
        <f>IF(A756="","",IF(A756=Agendamento!$C$3,"x",""))</f>
        <v/>
      </c>
      <c r="G756" s="13" t="str">
        <f>IF(A756="","",IF(E756=Agendamento!$C$7,"x",""))</f>
        <v/>
      </c>
      <c r="H756" s="13" t="str">
        <f>IF(A756="","",IF(AND(Agendamento!$C$3="",Agendamento!$C$7&lt;&gt;""),IF(Agendamento!$C$7='Base de Dados'!E756,"x",""),IF(AND(Agendamento!$C$3&lt;&gt;"",Agendamento!$C$7=""),IF(Agendamento!$C$3='Base de Dados'!A756,"x",""),IF(AND(Agendamento!$C$3='Base de Dados'!A756,'Base de Dados'!E756=Agendamento!$C$7),"x",""))))</f>
        <v/>
      </c>
      <c r="I756" s="13" t="str">
        <f>IF(H756="x",COUNT($I$1:I755)+1,"")</f>
        <v/>
      </c>
    </row>
    <row r="757" spans="1:9" x14ac:dyDescent="0.25">
      <c r="A757" s="27"/>
      <c r="B757" s="28"/>
      <c r="C757" s="29"/>
      <c r="D757" s="29"/>
      <c r="E757" s="28"/>
      <c r="F757" s="13" t="str">
        <f>IF(A757="","",IF(A757=Agendamento!$C$3,"x",""))</f>
        <v/>
      </c>
      <c r="G757" s="13" t="str">
        <f>IF(A757="","",IF(E757=Agendamento!$C$7,"x",""))</f>
        <v/>
      </c>
      <c r="H757" s="13" t="str">
        <f>IF(A757="","",IF(AND(Agendamento!$C$3="",Agendamento!$C$7&lt;&gt;""),IF(Agendamento!$C$7='Base de Dados'!E757,"x",""),IF(AND(Agendamento!$C$3&lt;&gt;"",Agendamento!$C$7=""),IF(Agendamento!$C$3='Base de Dados'!A757,"x",""),IF(AND(Agendamento!$C$3='Base de Dados'!A757,'Base de Dados'!E757=Agendamento!$C$7),"x",""))))</f>
        <v/>
      </c>
      <c r="I757" s="13" t="str">
        <f>IF(H757="x",COUNT($I$1:I756)+1,"")</f>
        <v/>
      </c>
    </row>
    <row r="758" spans="1:9" x14ac:dyDescent="0.25">
      <c r="A758" s="27"/>
      <c r="B758" s="28"/>
      <c r="C758" s="29"/>
      <c r="D758" s="29"/>
      <c r="E758" s="28"/>
      <c r="F758" s="13" t="str">
        <f>IF(A758="","",IF(A758=Agendamento!$C$3,"x",""))</f>
        <v/>
      </c>
      <c r="G758" s="13" t="str">
        <f>IF(A758="","",IF(E758=Agendamento!$C$7,"x",""))</f>
        <v/>
      </c>
      <c r="H758" s="13" t="str">
        <f>IF(A758="","",IF(AND(Agendamento!$C$3="",Agendamento!$C$7&lt;&gt;""),IF(Agendamento!$C$7='Base de Dados'!E758,"x",""),IF(AND(Agendamento!$C$3&lt;&gt;"",Agendamento!$C$7=""),IF(Agendamento!$C$3='Base de Dados'!A758,"x",""),IF(AND(Agendamento!$C$3='Base de Dados'!A758,'Base de Dados'!E758=Agendamento!$C$7),"x",""))))</f>
        <v/>
      </c>
      <c r="I758" s="13" t="str">
        <f>IF(H758="x",COUNT($I$1:I757)+1,"")</f>
        <v/>
      </c>
    </row>
    <row r="759" spans="1:9" x14ac:dyDescent="0.25">
      <c r="A759" s="27"/>
      <c r="B759" s="28"/>
      <c r="C759" s="29"/>
      <c r="D759" s="29"/>
      <c r="E759" s="28"/>
      <c r="F759" s="13" t="str">
        <f>IF(A759="","",IF(A759=Agendamento!$C$3,"x",""))</f>
        <v/>
      </c>
      <c r="G759" s="13" t="str">
        <f>IF(A759="","",IF(E759=Agendamento!$C$7,"x",""))</f>
        <v/>
      </c>
      <c r="H759" s="13" t="str">
        <f>IF(A759="","",IF(AND(Agendamento!$C$3="",Agendamento!$C$7&lt;&gt;""),IF(Agendamento!$C$7='Base de Dados'!E759,"x",""),IF(AND(Agendamento!$C$3&lt;&gt;"",Agendamento!$C$7=""),IF(Agendamento!$C$3='Base de Dados'!A759,"x",""),IF(AND(Agendamento!$C$3='Base de Dados'!A759,'Base de Dados'!E759=Agendamento!$C$7),"x",""))))</f>
        <v/>
      </c>
      <c r="I759" s="13" t="str">
        <f>IF(H759="x",COUNT($I$1:I758)+1,"")</f>
        <v/>
      </c>
    </row>
    <row r="760" spans="1:9" x14ac:dyDescent="0.25">
      <c r="A760" s="27"/>
      <c r="B760" s="28"/>
      <c r="C760" s="29"/>
      <c r="D760" s="29"/>
      <c r="E760" s="28"/>
      <c r="F760" s="13" t="str">
        <f>IF(A760="","",IF(A760=Agendamento!$C$3,"x",""))</f>
        <v/>
      </c>
      <c r="G760" s="13" t="str">
        <f>IF(A760="","",IF(E760=Agendamento!$C$7,"x",""))</f>
        <v/>
      </c>
      <c r="H760" s="13" t="str">
        <f>IF(A760="","",IF(AND(Agendamento!$C$3="",Agendamento!$C$7&lt;&gt;""),IF(Agendamento!$C$7='Base de Dados'!E760,"x",""),IF(AND(Agendamento!$C$3&lt;&gt;"",Agendamento!$C$7=""),IF(Agendamento!$C$3='Base de Dados'!A760,"x",""),IF(AND(Agendamento!$C$3='Base de Dados'!A760,'Base de Dados'!E760=Agendamento!$C$7),"x",""))))</f>
        <v/>
      </c>
      <c r="I760" s="13" t="str">
        <f>IF(H760="x",COUNT($I$1:I759)+1,"")</f>
        <v/>
      </c>
    </row>
    <row r="761" spans="1:9" x14ac:dyDescent="0.25">
      <c r="A761" s="27"/>
      <c r="B761" s="28"/>
      <c r="C761" s="29"/>
      <c r="D761" s="29"/>
      <c r="E761" s="28"/>
      <c r="F761" s="13" t="str">
        <f>IF(A761="","",IF(A761=Agendamento!$C$3,"x",""))</f>
        <v/>
      </c>
      <c r="G761" s="13" t="str">
        <f>IF(A761="","",IF(E761=Agendamento!$C$7,"x",""))</f>
        <v/>
      </c>
      <c r="H761" s="13" t="str">
        <f>IF(A761="","",IF(AND(Agendamento!$C$3="",Agendamento!$C$7&lt;&gt;""),IF(Agendamento!$C$7='Base de Dados'!E761,"x",""),IF(AND(Agendamento!$C$3&lt;&gt;"",Agendamento!$C$7=""),IF(Agendamento!$C$3='Base de Dados'!A761,"x",""),IF(AND(Agendamento!$C$3='Base de Dados'!A761,'Base de Dados'!E761=Agendamento!$C$7),"x",""))))</f>
        <v/>
      </c>
      <c r="I761" s="13" t="str">
        <f>IF(H761="x",COUNT($I$1:I760)+1,"")</f>
        <v/>
      </c>
    </row>
    <row r="762" spans="1:9" x14ac:dyDescent="0.25">
      <c r="A762" s="27"/>
      <c r="B762" s="28"/>
      <c r="C762" s="29"/>
      <c r="D762" s="29"/>
      <c r="E762" s="28"/>
      <c r="F762" s="13" t="str">
        <f>IF(A762="","",IF(A762=Agendamento!$C$3,"x",""))</f>
        <v/>
      </c>
      <c r="G762" s="13" t="str">
        <f>IF(A762="","",IF(E762=Agendamento!$C$7,"x",""))</f>
        <v/>
      </c>
      <c r="H762" s="13" t="str">
        <f>IF(A762="","",IF(AND(Agendamento!$C$3="",Agendamento!$C$7&lt;&gt;""),IF(Agendamento!$C$7='Base de Dados'!E762,"x",""),IF(AND(Agendamento!$C$3&lt;&gt;"",Agendamento!$C$7=""),IF(Agendamento!$C$3='Base de Dados'!A762,"x",""),IF(AND(Agendamento!$C$3='Base de Dados'!A762,'Base de Dados'!E762=Agendamento!$C$7),"x",""))))</f>
        <v/>
      </c>
      <c r="I762" s="13" t="str">
        <f>IF(H762="x",COUNT($I$1:I761)+1,"")</f>
        <v/>
      </c>
    </row>
    <row r="763" spans="1:9" x14ac:dyDescent="0.25">
      <c r="A763" s="27"/>
      <c r="B763" s="28"/>
      <c r="C763" s="29"/>
      <c r="D763" s="29"/>
      <c r="E763" s="28"/>
      <c r="F763" s="13" t="str">
        <f>IF(A763="","",IF(A763=Agendamento!$C$3,"x",""))</f>
        <v/>
      </c>
      <c r="G763" s="13" t="str">
        <f>IF(A763="","",IF(E763=Agendamento!$C$7,"x",""))</f>
        <v/>
      </c>
      <c r="H763" s="13" t="str">
        <f>IF(A763="","",IF(AND(Agendamento!$C$3="",Agendamento!$C$7&lt;&gt;""),IF(Agendamento!$C$7='Base de Dados'!E763,"x",""),IF(AND(Agendamento!$C$3&lt;&gt;"",Agendamento!$C$7=""),IF(Agendamento!$C$3='Base de Dados'!A763,"x",""),IF(AND(Agendamento!$C$3='Base de Dados'!A763,'Base de Dados'!E763=Agendamento!$C$7),"x",""))))</f>
        <v/>
      </c>
      <c r="I763" s="13" t="str">
        <f>IF(H763="x",COUNT($I$1:I762)+1,"")</f>
        <v/>
      </c>
    </row>
    <row r="764" spans="1:9" x14ac:dyDescent="0.25">
      <c r="A764" s="27"/>
      <c r="B764" s="28"/>
      <c r="C764" s="29"/>
      <c r="D764" s="29"/>
      <c r="E764" s="28"/>
      <c r="F764" s="13" t="str">
        <f>IF(A764="","",IF(A764=Agendamento!$C$3,"x",""))</f>
        <v/>
      </c>
      <c r="G764" s="13" t="str">
        <f>IF(A764="","",IF(E764=Agendamento!$C$7,"x",""))</f>
        <v/>
      </c>
      <c r="H764" s="13" t="str">
        <f>IF(A764="","",IF(AND(Agendamento!$C$3="",Agendamento!$C$7&lt;&gt;""),IF(Agendamento!$C$7='Base de Dados'!E764,"x",""),IF(AND(Agendamento!$C$3&lt;&gt;"",Agendamento!$C$7=""),IF(Agendamento!$C$3='Base de Dados'!A764,"x",""),IF(AND(Agendamento!$C$3='Base de Dados'!A764,'Base de Dados'!E764=Agendamento!$C$7),"x",""))))</f>
        <v/>
      </c>
      <c r="I764" s="13" t="str">
        <f>IF(H764="x",COUNT($I$1:I763)+1,"")</f>
        <v/>
      </c>
    </row>
    <row r="765" spans="1:9" x14ac:dyDescent="0.25">
      <c r="A765" s="27"/>
      <c r="B765" s="28"/>
      <c r="C765" s="29"/>
      <c r="D765" s="29"/>
      <c r="E765" s="28"/>
      <c r="F765" s="13" t="str">
        <f>IF(A765="","",IF(A765=Agendamento!$C$3,"x",""))</f>
        <v/>
      </c>
      <c r="G765" s="13" t="str">
        <f>IF(A765="","",IF(E765=Agendamento!$C$7,"x",""))</f>
        <v/>
      </c>
      <c r="H765" s="13" t="str">
        <f>IF(A765="","",IF(AND(Agendamento!$C$3="",Agendamento!$C$7&lt;&gt;""),IF(Agendamento!$C$7='Base de Dados'!E765,"x",""),IF(AND(Agendamento!$C$3&lt;&gt;"",Agendamento!$C$7=""),IF(Agendamento!$C$3='Base de Dados'!A765,"x",""),IF(AND(Agendamento!$C$3='Base de Dados'!A765,'Base de Dados'!E765=Agendamento!$C$7),"x",""))))</f>
        <v/>
      </c>
      <c r="I765" s="13" t="str">
        <f>IF(H765="x",COUNT($I$1:I764)+1,"")</f>
        <v/>
      </c>
    </row>
    <row r="766" spans="1:9" x14ac:dyDescent="0.25">
      <c r="A766" s="27"/>
      <c r="B766" s="28"/>
      <c r="C766" s="29"/>
      <c r="D766" s="29"/>
      <c r="E766" s="28"/>
      <c r="F766" s="13" t="str">
        <f>IF(A766="","",IF(A766=Agendamento!$C$3,"x",""))</f>
        <v/>
      </c>
      <c r="G766" s="13" t="str">
        <f>IF(A766="","",IF(E766=Agendamento!$C$7,"x",""))</f>
        <v/>
      </c>
      <c r="H766" s="13" t="str">
        <f>IF(A766="","",IF(AND(Agendamento!$C$3="",Agendamento!$C$7&lt;&gt;""),IF(Agendamento!$C$7='Base de Dados'!E766,"x",""),IF(AND(Agendamento!$C$3&lt;&gt;"",Agendamento!$C$7=""),IF(Agendamento!$C$3='Base de Dados'!A766,"x",""),IF(AND(Agendamento!$C$3='Base de Dados'!A766,'Base de Dados'!E766=Agendamento!$C$7),"x",""))))</f>
        <v/>
      </c>
      <c r="I766" s="13" t="str">
        <f>IF(H766="x",COUNT($I$1:I765)+1,"")</f>
        <v/>
      </c>
    </row>
    <row r="767" spans="1:9" x14ac:dyDescent="0.25">
      <c r="A767" s="27"/>
      <c r="B767" s="28"/>
      <c r="C767" s="29"/>
      <c r="D767" s="29"/>
      <c r="E767" s="28"/>
      <c r="F767" s="13" t="str">
        <f>IF(A767="","",IF(A767=Agendamento!$C$3,"x",""))</f>
        <v/>
      </c>
      <c r="G767" s="13" t="str">
        <f>IF(A767="","",IF(E767=Agendamento!$C$7,"x",""))</f>
        <v/>
      </c>
      <c r="H767" s="13" t="str">
        <f>IF(A767="","",IF(AND(Agendamento!$C$3="",Agendamento!$C$7&lt;&gt;""),IF(Agendamento!$C$7='Base de Dados'!E767,"x",""),IF(AND(Agendamento!$C$3&lt;&gt;"",Agendamento!$C$7=""),IF(Agendamento!$C$3='Base de Dados'!A767,"x",""),IF(AND(Agendamento!$C$3='Base de Dados'!A767,'Base de Dados'!E767=Agendamento!$C$7),"x",""))))</f>
        <v/>
      </c>
      <c r="I767" s="13" t="str">
        <f>IF(H767="x",COUNT($I$1:I766)+1,"")</f>
        <v/>
      </c>
    </row>
    <row r="768" spans="1:9" x14ac:dyDescent="0.25">
      <c r="A768" s="27"/>
      <c r="B768" s="28"/>
      <c r="C768" s="29"/>
      <c r="D768" s="29"/>
      <c r="E768" s="28"/>
      <c r="F768" s="13" t="str">
        <f>IF(A768="","",IF(A768=Agendamento!$C$3,"x",""))</f>
        <v/>
      </c>
      <c r="G768" s="13" t="str">
        <f>IF(A768="","",IF(E768=Agendamento!$C$7,"x",""))</f>
        <v/>
      </c>
      <c r="H768" s="13" t="str">
        <f>IF(A768="","",IF(AND(Agendamento!$C$3="",Agendamento!$C$7&lt;&gt;""),IF(Agendamento!$C$7='Base de Dados'!E768,"x",""),IF(AND(Agendamento!$C$3&lt;&gt;"",Agendamento!$C$7=""),IF(Agendamento!$C$3='Base de Dados'!A768,"x",""),IF(AND(Agendamento!$C$3='Base de Dados'!A768,'Base de Dados'!E768=Agendamento!$C$7),"x",""))))</f>
        <v/>
      </c>
      <c r="I768" s="13" t="str">
        <f>IF(H768="x",COUNT($I$1:I767)+1,"")</f>
        <v/>
      </c>
    </row>
    <row r="769" spans="1:9" x14ac:dyDescent="0.25">
      <c r="A769" s="27"/>
      <c r="B769" s="28"/>
      <c r="C769" s="29"/>
      <c r="D769" s="29"/>
      <c r="E769" s="28"/>
      <c r="F769" s="13" t="str">
        <f>IF(A769="","",IF(A769=Agendamento!$C$3,"x",""))</f>
        <v/>
      </c>
      <c r="G769" s="13" t="str">
        <f>IF(A769="","",IF(E769=Agendamento!$C$7,"x",""))</f>
        <v/>
      </c>
      <c r="H769" s="13" t="str">
        <f>IF(A769="","",IF(AND(Agendamento!$C$3="",Agendamento!$C$7&lt;&gt;""),IF(Agendamento!$C$7='Base de Dados'!E769,"x",""),IF(AND(Agendamento!$C$3&lt;&gt;"",Agendamento!$C$7=""),IF(Agendamento!$C$3='Base de Dados'!A769,"x",""),IF(AND(Agendamento!$C$3='Base de Dados'!A769,'Base de Dados'!E769=Agendamento!$C$7),"x",""))))</f>
        <v/>
      </c>
      <c r="I769" s="13" t="str">
        <f>IF(H769="x",COUNT($I$1:I768)+1,"")</f>
        <v/>
      </c>
    </row>
    <row r="770" spans="1:9" x14ac:dyDescent="0.25">
      <c r="A770" s="27"/>
      <c r="B770" s="28"/>
      <c r="C770" s="29"/>
      <c r="D770" s="29"/>
      <c r="E770" s="28"/>
      <c r="F770" s="13" t="str">
        <f>IF(A770="","",IF(A770=Agendamento!$C$3,"x",""))</f>
        <v/>
      </c>
      <c r="G770" s="13" t="str">
        <f>IF(A770="","",IF(E770=Agendamento!$C$7,"x",""))</f>
        <v/>
      </c>
      <c r="H770" s="13" t="str">
        <f>IF(A770="","",IF(AND(Agendamento!$C$3="",Agendamento!$C$7&lt;&gt;""),IF(Agendamento!$C$7='Base de Dados'!E770,"x",""),IF(AND(Agendamento!$C$3&lt;&gt;"",Agendamento!$C$7=""),IF(Agendamento!$C$3='Base de Dados'!A770,"x",""),IF(AND(Agendamento!$C$3='Base de Dados'!A770,'Base de Dados'!E770=Agendamento!$C$7),"x",""))))</f>
        <v/>
      </c>
      <c r="I770" s="13" t="str">
        <f>IF(H770="x",COUNT($I$1:I769)+1,"")</f>
        <v/>
      </c>
    </row>
    <row r="771" spans="1:9" x14ac:dyDescent="0.25">
      <c r="A771" s="27"/>
      <c r="B771" s="28"/>
      <c r="C771" s="29"/>
      <c r="D771" s="29"/>
      <c r="E771" s="28"/>
      <c r="F771" s="13" t="str">
        <f>IF(A771="","",IF(A771=Agendamento!$C$3,"x",""))</f>
        <v/>
      </c>
      <c r="G771" s="13" t="str">
        <f>IF(A771="","",IF(E771=Agendamento!$C$7,"x",""))</f>
        <v/>
      </c>
      <c r="H771" s="13" t="str">
        <f>IF(A771="","",IF(AND(Agendamento!$C$3="",Agendamento!$C$7&lt;&gt;""),IF(Agendamento!$C$7='Base de Dados'!E771,"x",""),IF(AND(Agendamento!$C$3&lt;&gt;"",Agendamento!$C$7=""),IF(Agendamento!$C$3='Base de Dados'!A771,"x",""),IF(AND(Agendamento!$C$3='Base de Dados'!A771,'Base de Dados'!E771=Agendamento!$C$7),"x",""))))</f>
        <v/>
      </c>
      <c r="I771" s="13" t="str">
        <f>IF(H771="x",COUNT($I$1:I770)+1,"")</f>
        <v/>
      </c>
    </row>
    <row r="772" spans="1:9" x14ac:dyDescent="0.25">
      <c r="A772" s="27"/>
      <c r="B772" s="28"/>
      <c r="C772" s="29"/>
      <c r="D772" s="29"/>
      <c r="E772" s="28"/>
      <c r="F772" s="13" t="str">
        <f>IF(A772="","",IF(A772=Agendamento!$C$3,"x",""))</f>
        <v/>
      </c>
      <c r="G772" s="13" t="str">
        <f>IF(A772="","",IF(E772=Agendamento!$C$7,"x",""))</f>
        <v/>
      </c>
      <c r="H772" s="13" t="str">
        <f>IF(A772="","",IF(AND(Agendamento!$C$3="",Agendamento!$C$7&lt;&gt;""),IF(Agendamento!$C$7='Base de Dados'!E772,"x",""),IF(AND(Agendamento!$C$3&lt;&gt;"",Agendamento!$C$7=""),IF(Agendamento!$C$3='Base de Dados'!A772,"x",""),IF(AND(Agendamento!$C$3='Base de Dados'!A772,'Base de Dados'!E772=Agendamento!$C$7),"x",""))))</f>
        <v/>
      </c>
      <c r="I772" s="13" t="str">
        <f>IF(H772="x",COUNT($I$1:I771)+1,"")</f>
        <v/>
      </c>
    </row>
    <row r="773" spans="1:9" x14ac:dyDescent="0.25">
      <c r="A773" s="27"/>
      <c r="B773" s="28"/>
      <c r="C773" s="29"/>
      <c r="D773" s="29"/>
      <c r="E773" s="28"/>
      <c r="F773" s="13" t="str">
        <f>IF(A773="","",IF(A773=Agendamento!$C$3,"x",""))</f>
        <v/>
      </c>
      <c r="G773" s="13" t="str">
        <f>IF(A773="","",IF(E773=Agendamento!$C$7,"x",""))</f>
        <v/>
      </c>
      <c r="H773" s="13" t="str">
        <f>IF(A773="","",IF(AND(Agendamento!$C$3="",Agendamento!$C$7&lt;&gt;""),IF(Agendamento!$C$7='Base de Dados'!E773,"x",""),IF(AND(Agendamento!$C$3&lt;&gt;"",Agendamento!$C$7=""),IF(Agendamento!$C$3='Base de Dados'!A773,"x",""),IF(AND(Agendamento!$C$3='Base de Dados'!A773,'Base de Dados'!E773=Agendamento!$C$7),"x",""))))</f>
        <v/>
      </c>
      <c r="I773" s="13" t="str">
        <f>IF(H773="x",COUNT($I$1:I772)+1,"")</f>
        <v/>
      </c>
    </row>
    <row r="774" spans="1:9" x14ac:dyDescent="0.25">
      <c r="A774" s="27"/>
      <c r="B774" s="28"/>
      <c r="C774" s="29"/>
      <c r="D774" s="29"/>
      <c r="E774" s="28"/>
      <c r="F774" s="13" t="str">
        <f>IF(A774="","",IF(A774=Agendamento!$C$3,"x",""))</f>
        <v/>
      </c>
      <c r="G774" s="13" t="str">
        <f>IF(A774="","",IF(E774=Agendamento!$C$7,"x",""))</f>
        <v/>
      </c>
      <c r="H774" s="13" t="str">
        <f>IF(A774="","",IF(AND(Agendamento!$C$3="",Agendamento!$C$7&lt;&gt;""),IF(Agendamento!$C$7='Base de Dados'!E774,"x",""),IF(AND(Agendamento!$C$3&lt;&gt;"",Agendamento!$C$7=""),IF(Agendamento!$C$3='Base de Dados'!A774,"x",""),IF(AND(Agendamento!$C$3='Base de Dados'!A774,'Base de Dados'!E774=Agendamento!$C$7),"x",""))))</f>
        <v/>
      </c>
      <c r="I774" s="13" t="str">
        <f>IF(H774="x",COUNT($I$1:I773)+1,"")</f>
        <v/>
      </c>
    </row>
    <row r="775" spans="1:9" x14ac:dyDescent="0.25">
      <c r="A775" s="27"/>
      <c r="B775" s="28"/>
      <c r="C775" s="29"/>
      <c r="D775" s="29"/>
      <c r="E775" s="28"/>
      <c r="F775" s="13" t="str">
        <f>IF(A775="","",IF(A775=Agendamento!$C$3,"x",""))</f>
        <v/>
      </c>
      <c r="G775" s="13" t="str">
        <f>IF(A775="","",IF(E775=Agendamento!$C$7,"x",""))</f>
        <v/>
      </c>
      <c r="H775" s="13" t="str">
        <f>IF(A775="","",IF(AND(Agendamento!$C$3="",Agendamento!$C$7&lt;&gt;""),IF(Agendamento!$C$7='Base de Dados'!E775,"x",""),IF(AND(Agendamento!$C$3&lt;&gt;"",Agendamento!$C$7=""),IF(Agendamento!$C$3='Base de Dados'!A775,"x",""),IF(AND(Agendamento!$C$3='Base de Dados'!A775,'Base de Dados'!E775=Agendamento!$C$7),"x",""))))</f>
        <v/>
      </c>
      <c r="I775" s="13" t="str">
        <f>IF(H775="x",COUNT($I$1:I774)+1,"")</f>
        <v/>
      </c>
    </row>
    <row r="776" spans="1:9" x14ac:dyDescent="0.25">
      <c r="A776" s="27"/>
      <c r="B776" s="28"/>
      <c r="C776" s="29"/>
      <c r="D776" s="29"/>
      <c r="E776" s="28"/>
      <c r="F776" s="13" t="str">
        <f>IF(A776="","",IF(A776=Agendamento!$C$3,"x",""))</f>
        <v/>
      </c>
      <c r="G776" s="13" t="str">
        <f>IF(A776="","",IF(E776=Agendamento!$C$7,"x",""))</f>
        <v/>
      </c>
      <c r="H776" s="13" t="str">
        <f>IF(A776="","",IF(AND(Agendamento!$C$3="",Agendamento!$C$7&lt;&gt;""),IF(Agendamento!$C$7='Base de Dados'!E776,"x",""),IF(AND(Agendamento!$C$3&lt;&gt;"",Agendamento!$C$7=""),IF(Agendamento!$C$3='Base de Dados'!A776,"x",""),IF(AND(Agendamento!$C$3='Base de Dados'!A776,'Base de Dados'!E776=Agendamento!$C$7),"x",""))))</f>
        <v/>
      </c>
      <c r="I776" s="13" t="str">
        <f>IF(H776="x",COUNT($I$1:I775)+1,"")</f>
        <v/>
      </c>
    </row>
    <row r="777" spans="1:9" x14ac:dyDescent="0.25">
      <c r="A777" s="27"/>
      <c r="B777" s="28"/>
      <c r="C777" s="29"/>
      <c r="D777" s="29"/>
      <c r="E777" s="28"/>
      <c r="F777" s="13" t="str">
        <f>IF(A777="","",IF(A777=Agendamento!$C$3,"x",""))</f>
        <v/>
      </c>
      <c r="G777" s="13" t="str">
        <f>IF(A777="","",IF(E777=Agendamento!$C$7,"x",""))</f>
        <v/>
      </c>
      <c r="H777" s="13" t="str">
        <f>IF(A777="","",IF(AND(Agendamento!$C$3="",Agendamento!$C$7&lt;&gt;""),IF(Agendamento!$C$7='Base de Dados'!E777,"x",""),IF(AND(Agendamento!$C$3&lt;&gt;"",Agendamento!$C$7=""),IF(Agendamento!$C$3='Base de Dados'!A777,"x",""),IF(AND(Agendamento!$C$3='Base de Dados'!A777,'Base de Dados'!E777=Agendamento!$C$7),"x",""))))</f>
        <v/>
      </c>
      <c r="I777" s="13" t="str">
        <f>IF(H777="x",COUNT($I$1:I776)+1,"")</f>
        <v/>
      </c>
    </row>
    <row r="778" spans="1:9" x14ac:dyDescent="0.25">
      <c r="A778" s="27"/>
      <c r="B778" s="28"/>
      <c r="C778" s="29"/>
      <c r="D778" s="29"/>
      <c r="E778" s="28"/>
      <c r="F778" s="13" t="str">
        <f>IF(A778="","",IF(A778=Agendamento!$C$3,"x",""))</f>
        <v/>
      </c>
      <c r="G778" s="13" t="str">
        <f>IF(A778="","",IF(E778=Agendamento!$C$7,"x",""))</f>
        <v/>
      </c>
      <c r="H778" s="13" t="str">
        <f>IF(A778="","",IF(AND(Agendamento!$C$3="",Agendamento!$C$7&lt;&gt;""),IF(Agendamento!$C$7='Base de Dados'!E778,"x",""),IF(AND(Agendamento!$C$3&lt;&gt;"",Agendamento!$C$7=""),IF(Agendamento!$C$3='Base de Dados'!A778,"x",""),IF(AND(Agendamento!$C$3='Base de Dados'!A778,'Base de Dados'!E778=Agendamento!$C$7),"x",""))))</f>
        <v/>
      </c>
      <c r="I778" s="13" t="str">
        <f>IF(H778="x",COUNT($I$1:I777)+1,"")</f>
        <v/>
      </c>
    </row>
    <row r="779" spans="1:9" x14ac:dyDescent="0.25">
      <c r="A779" s="27"/>
      <c r="B779" s="28"/>
      <c r="C779" s="29"/>
      <c r="D779" s="29"/>
      <c r="E779" s="28"/>
      <c r="F779" s="13" t="str">
        <f>IF(A779="","",IF(A779=Agendamento!$C$3,"x",""))</f>
        <v/>
      </c>
      <c r="G779" s="13" t="str">
        <f>IF(A779="","",IF(E779=Agendamento!$C$7,"x",""))</f>
        <v/>
      </c>
      <c r="H779" s="13" t="str">
        <f>IF(A779="","",IF(AND(Agendamento!$C$3="",Agendamento!$C$7&lt;&gt;""),IF(Agendamento!$C$7='Base de Dados'!E779,"x",""),IF(AND(Agendamento!$C$3&lt;&gt;"",Agendamento!$C$7=""),IF(Agendamento!$C$3='Base de Dados'!A779,"x",""),IF(AND(Agendamento!$C$3='Base de Dados'!A779,'Base de Dados'!E779=Agendamento!$C$7),"x",""))))</f>
        <v/>
      </c>
      <c r="I779" s="13" t="str">
        <f>IF(H779="x",COUNT($I$1:I778)+1,"")</f>
        <v/>
      </c>
    </row>
    <row r="780" spans="1:9" x14ac:dyDescent="0.25">
      <c r="A780" s="27"/>
      <c r="B780" s="28"/>
      <c r="C780" s="29"/>
      <c r="D780" s="29"/>
      <c r="E780" s="28"/>
      <c r="F780" s="13" t="str">
        <f>IF(A780="","",IF(A780=Agendamento!$C$3,"x",""))</f>
        <v/>
      </c>
      <c r="G780" s="13" t="str">
        <f>IF(A780="","",IF(E780=Agendamento!$C$7,"x",""))</f>
        <v/>
      </c>
      <c r="H780" s="13" t="str">
        <f>IF(A780="","",IF(AND(Agendamento!$C$3="",Agendamento!$C$7&lt;&gt;""),IF(Agendamento!$C$7='Base de Dados'!E780,"x",""),IF(AND(Agendamento!$C$3&lt;&gt;"",Agendamento!$C$7=""),IF(Agendamento!$C$3='Base de Dados'!A780,"x",""),IF(AND(Agendamento!$C$3='Base de Dados'!A780,'Base de Dados'!E780=Agendamento!$C$7),"x",""))))</f>
        <v/>
      </c>
      <c r="I780" s="13" t="str">
        <f>IF(H780="x",COUNT($I$1:I779)+1,"")</f>
        <v/>
      </c>
    </row>
    <row r="781" spans="1:9" x14ac:dyDescent="0.25">
      <c r="A781" s="27"/>
      <c r="B781" s="28"/>
      <c r="C781" s="29"/>
      <c r="D781" s="29"/>
      <c r="E781" s="28"/>
      <c r="F781" s="13" t="str">
        <f>IF(A781="","",IF(A781=Agendamento!$C$3,"x",""))</f>
        <v/>
      </c>
      <c r="G781" s="13" t="str">
        <f>IF(A781="","",IF(E781=Agendamento!$C$7,"x",""))</f>
        <v/>
      </c>
      <c r="H781" s="13" t="str">
        <f>IF(A781="","",IF(AND(Agendamento!$C$3="",Agendamento!$C$7&lt;&gt;""),IF(Agendamento!$C$7='Base de Dados'!E781,"x",""),IF(AND(Agendamento!$C$3&lt;&gt;"",Agendamento!$C$7=""),IF(Agendamento!$C$3='Base de Dados'!A781,"x",""),IF(AND(Agendamento!$C$3='Base de Dados'!A781,'Base de Dados'!E781=Agendamento!$C$7),"x",""))))</f>
        <v/>
      </c>
      <c r="I781" s="13" t="str">
        <f>IF(H781="x",COUNT($I$1:I780)+1,"")</f>
        <v/>
      </c>
    </row>
    <row r="782" spans="1:9" x14ac:dyDescent="0.25">
      <c r="A782" s="27"/>
      <c r="B782" s="28"/>
      <c r="C782" s="29"/>
      <c r="D782" s="29"/>
      <c r="E782" s="28"/>
      <c r="F782" s="13" t="str">
        <f>IF(A782="","",IF(A782=Agendamento!$C$3,"x",""))</f>
        <v/>
      </c>
      <c r="G782" s="13" t="str">
        <f>IF(A782="","",IF(E782=Agendamento!$C$7,"x",""))</f>
        <v/>
      </c>
      <c r="H782" s="13" t="str">
        <f>IF(A782="","",IF(AND(Agendamento!$C$3="",Agendamento!$C$7&lt;&gt;""),IF(Agendamento!$C$7='Base de Dados'!E782,"x",""),IF(AND(Agendamento!$C$3&lt;&gt;"",Agendamento!$C$7=""),IF(Agendamento!$C$3='Base de Dados'!A782,"x",""),IF(AND(Agendamento!$C$3='Base de Dados'!A782,'Base de Dados'!E782=Agendamento!$C$7),"x",""))))</f>
        <v/>
      </c>
      <c r="I782" s="13" t="str">
        <f>IF(H782="x",COUNT($I$1:I781)+1,"")</f>
        <v/>
      </c>
    </row>
    <row r="783" spans="1:9" x14ac:dyDescent="0.25">
      <c r="A783" s="27"/>
      <c r="B783" s="28"/>
      <c r="C783" s="29"/>
      <c r="D783" s="29"/>
      <c r="E783" s="28"/>
      <c r="F783" s="13" t="str">
        <f>IF(A783="","",IF(A783=Agendamento!$C$3,"x",""))</f>
        <v/>
      </c>
      <c r="G783" s="13" t="str">
        <f>IF(A783="","",IF(E783=Agendamento!$C$7,"x",""))</f>
        <v/>
      </c>
      <c r="H783" s="13" t="str">
        <f>IF(A783="","",IF(AND(Agendamento!$C$3="",Agendamento!$C$7&lt;&gt;""),IF(Agendamento!$C$7='Base de Dados'!E783,"x",""),IF(AND(Agendamento!$C$3&lt;&gt;"",Agendamento!$C$7=""),IF(Agendamento!$C$3='Base de Dados'!A783,"x",""),IF(AND(Agendamento!$C$3='Base de Dados'!A783,'Base de Dados'!E783=Agendamento!$C$7),"x",""))))</f>
        <v/>
      </c>
      <c r="I783" s="13" t="str">
        <f>IF(H783="x",COUNT($I$1:I782)+1,"")</f>
        <v/>
      </c>
    </row>
    <row r="784" spans="1:9" x14ac:dyDescent="0.25">
      <c r="A784" s="27"/>
      <c r="B784" s="28"/>
      <c r="C784" s="29"/>
      <c r="D784" s="29"/>
      <c r="E784" s="28"/>
      <c r="F784" s="13" t="str">
        <f>IF(A784="","",IF(A784=Agendamento!$C$3,"x",""))</f>
        <v/>
      </c>
      <c r="G784" s="13" t="str">
        <f>IF(A784="","",IF(E784=Agendamento!$C$7,"x",""))</f>
        <v/>
      </c>
      <c r="H784" s="13" t="str">
        <f>IF(A784="","",IF(AND(Agendamento!$C$3="",Agendamento!$C$7&lt;&gt;""),IF(Agendamento!$C$7='Base de Dados'!E784,"x",""),IF(AND(Agendamento!$C$3&lt;&gt;"",Agendamento!$C$7=""),IF(Agendamento!$C$3='Base de Dados'!A784,"x",""),IF(AND(Agendamento!$C$3='Base de Dados'!A784,'Base de Dados'!E784=Agendamento!$C$7),"x",""))))</f>
        <v/>
      </c>
      <c r="I784" s="13" t="str">
        <f>IF(H784="x",COUNT($I$1:I783)+1,"")</f>
        <v/>
      </c>
    </row>
    <row r="785" spans="1:9" x14ac:dyDescent="0.25">
      <c r="A785" s="27"/>
      <c r="B785" s="28"/>
      <c r="C785" s="29"/>
      <c r="D785" s="29"/>
      <c r="E785" s="28"/>
      <c r="F785" s="13" t="str">
        <f>IF(A785="","",IF(A785=Agendamento!$C$3,"x",""))</f>
        <v/>
      </c>
      <c r="G785" s="13" t="str">
        <f>IF(A785="","",IF(E785=Agendamento!$C$7,"x",""))</f>
        <v/>
      </c>
      <c r="H785" s="13" t="str">
        <f>IF(A785="","",IF(AND(Agendamento!$C$3="",Agendamento!$C$7&lt;&gt;""),IF(Agendamento!$C$7='Base de Dados'!E785,"x",""),IF(AND(Agendamento!$C$3&lt;&gt;"",Agendamento!$C$7=""),IF(Agendamento!$C$3='Base de Dados'!A785,"x",""),IF(AND(Agendamento!$C$3='Base de Dados'!A785,'Base de Dados'!E785=Agendamento!$C$7),"x",""))))</f>
        <v/>
      </c>
      <c r="I785" s="13" t="str">
        <f>IF(H785="x",COUNT($I$1:I784)+1,"")</f>
        <v/>
      </c>
    </row>
    <row r="786" spans="1:9" x14ac:dyDescent="0.25">
      <c r="A786" s="27"/>
      <c r="B786" s="28"/>
      <c r="C786" s="29"/>
      <c r="D786" s="29"/>
      <c r="E786" s="28"/>
      <c r="F786" s="13" t="str">
        <f>IF(A786="","",IF(A786=Agendamento!$C$3,"x",""))</f>
        <v/>
      </c>
      <c r="G786" s="13" t="str">
        <f>IF(A786="","",IF(E786=Agendamento!$C$7,"x",""))</f>
        <v/>
      </c>
      <c r="H786" s="13" t="str">
        <f>IF(A786="","",IF(AND(Agendamento!$C$3="",Agendamento!$C$7&lt;&gt;""),IF(Agendamento!$C$7='Base de Dados'!E786,"x",""),IF(AND(Agendamento!$C$3&lt;&gt;"",Agendamento!$C$7=""),IF(Agendamento!$C$3='Base de Dados'!A786,"x",""),IF(AND(Agendamento!$C$3='Base de Dados'!A786,'Base de Dados'!E786=Agendamento!$C$7),"x",""))))</f>
        <v/>
      </c>
      <c r="I786" s="13" t="str">
        <f>IF(H786="x",COUNT($I$1:I785)+1,"")</f>
        <v/>
      </c>
    </row>
    <row r="787" spans="1:9" x14ac:dyDescent="0.25">
      <c r="A787" s="27"/>
      <c r="B787" s="28"/>
      <c r="C787" s="29"/>
      <c r="D787" s="29"/>
      <c r="E787" s="28"/>
      <c r="F787" s="13" t="str">
        <f>IF(A787="","",IF(A787=Agendamento!$C$3,"x",""))</f>
        <v/>
      </c>
      <c r="G787" s="13" t="str">
        <f>IF(A787="","",IF(E787=Agendamento!$C$7,"x",""))</f>
        <v/>
      </c>
      <c r="H787" s="13" t="str">
        <f>IF(A787="","",IF(AND(Agendamento!$C$3="",Agendamento!$C$7&lt;&gt;""),IF(Agendamento!$C$7='Base de Dados'!E787,"x",""),IF(AND(Agendamento!$C$3&lt;&gt;"",Agendamento!$C$7=""),IF(Agendamento!$C$3='Base de Dados'!A787,"x",""),IF(AND(Agendamento!$C$3='Base de Dados'!A787,'Base de Dados'!E787=Agendamento!$C$7),"x",""))))</f>
        <v/>
      </c>
      <c r="I787" s="13" t="str">
        <f>IF(H787="x",COUNT($I$1:I786)+1,"")</f>
        <v/>
      </c>
    </row>
    <row r="788" spans="1:9" x14ac:dyDescent="0.25">
      <c r="A788" s="27"/>
      <c r="B788" s="28"/>
      <c r="C788" s="29"/>
      <c r="D788" s="29"/>
      <c r="E788" s="28"/>
      <c r="F788" s="13" t="str">
        <f>IF(A788="","",IF(A788=Agendamento!$C$3,"x",""))</f>
        <v/>
      </c>
      <c r="G788" s="13" t="str">
        <f>IF(A788="","",IF(E788=Agendamento!$C$7,"x",""))</f>
        <v/>
      </c>
      <c r="H788" s="13" t="str">
        <f>IF(A788="","",IF(AND(Agendamento!$C$3="",Agendamento!$C$7&lt;&gt;""),IF(Agendamento!$C$7='Base de Dados'!E788,"x",""),IF(AND(Agendamento!$C$3&lt;&gt;"",Agendamento!$C$7=""),IF(Agendamento!$C$3='Base de Dados'!A788,"x",""),IF(AND(Agendamento!$C$3='Base de Dados'!A788,'Base de Dados'!E788=Agendamento!$C$7),"x",""))))</f>
        <v/>
      </c>
      <c r="I788" s="13" t="str">
        <f>IF(H788="x",COUNT($I$1:I787)+1,"")</f>
        <v/>
      </c>
    </row>
    <row r="789" spans="1:9" x14ac:dyDescent="0.25">
      <c r="A789" s="27"/>
      <c r="B789" s="28"/>
      <c r="C789" s="29"/>
      <c r="D789" s="29"/>
      <c r="E789" s="28"/>
      <c r="F789" s="13" t="str">
        <f>IF(A789="","",IF(A789=Agendamento!$C$3,"x",""))</f>
        <v/>
      </c>
      <c r="G789" s="13" t="str">
        <f>IF(A789="","",IF(E789=Agendamento!$C$7,"x",""))</f>
        <v/>
      </c>
      <c r="H789" s="13" t="str">
        <f>IF(A789="","",IF(AND(Agendamento!$C$3="",Agendamento!$C$7&lt;&gt;""),IF(Agendamento!$C$7='Base de Dados'!E789,"x",""),IF(AND(Agendamento!$C$3&lt;&gt;"",Agendamento!$C$7=""),IF(Agendamento!$C$3='Base de Dados'!A789,"x",""),IF(AND(Agendamento!$C$3='Base de Dados'!A789,'Base de Dados'!E789=Agendamento!$C$7),"x",""))))</f>
        <v/>
      </c>
      <c r="I789" s="13" t="str">
        <f>IF(H789="x",COUNT($I$1:I788)+1,"")</f>
        <v/>
      </c>
    </row>
    <row r="790" spans="1:9" x14ac:dyDescent="0.25">
      <c r="A790" s="27"/>
      <c r="B790" s="28"/>
      <c r="C790" s="29"/>
      <c r="D790" s="29"/>
      <c r="E790" s="28"/>
      <c r="F790" s="13" t="str">
        <f>IF(A790="","",IF(A790=Agendamento!$C$3,"x",""))</f>
        <v/>
      </c>
      <c r="G790" s="13" t="str">
        <f>IF(A790="","",IF(E790=Agendamento!$C$7,"x",""))</f>
        <v/>
      </c>
      <c r="H790" s="13" t="str">
        <f>IF(A790="","",IF(AND(Agendamento!$C$3="",Agendamento!$C$7&lt;&gt;""),IF(Agendamento!$C$7='Base de Dados'!E790,"x",""),IF(AND(Agendamento!$C$3&lt;&gt;"",Agendamento!$C$7=""),IF(Agendamento!$C$3='Base de Dados'!A790,"x",""),IF(AND(Agendamento!$C$3='Base de Dados'!A790,'Base de Dados'!E790=Agendamento!$C$7),"x",""))))</f>
        <v/>
      </c>
      <c r="I790" s="13" t="str">
        <f>IF(H790="x",COUNT($I$1:I789)+1,"")</f>
        <v/>
      </c>
    </row>
    <row r="791" spans="1:9" x14ac:dyDescent="0.25">
      <c r="A791" s="27"/>
      <c r="B791" s="28"/>
      <c r="C791" s="29"/>
      <c r="D791" s="29"/>
      <c r="E791" s="28"/>
      <c r="F791" s="13" t="str">
        <f>IF(A791="","",IF(A791=Agendamento!$C$3,"x",""))</f>
        <v/>
      </c>
      <c r="G791" s="13" t="str">
        <f>IF(A791="","",IF(E791=Agendamento!$C$7,"x",""))</f>
        <v/>
      </c>
      <c r="H791" s="13" t="str">
        <f>IF(A791="","",IF(AND(Agendamento!$C$3="",Agendamento!$C$7&lt;&gt;""),IF(Agendamento!$C$7='Base de Dados'!E791,"x",""),IF(AND(Agendamento!$C$3&lt;&gt;"",Agendamento!$C$7=""),IF(Agendamento!$C$3='Base de Dados'!A791,"x",""),IF(AND(Agendamento!$C$3='Base de Dados'!A791,'Base de Dados'!E791=Agendamento!$C$7),"x",""))))</f>
        <v/>
      </c>
      <c r="I791" s="13" t="str">
        <f>IF(H791="x",COUNT($I$1:I790)+1,"")</f>
        <v/>
      </c>
    </row>
    <row r="792" spans="1:9" x14ac:dyDescent="0.25">
      <c r="A792" s="27"/>
      <c r="B792" s="28"/>
      <c r="C792" s="29"/>
      <c r="D792" s="29"/>
      <c r="E792" s="28"/>
      <c r="F792" s="13" t="str">
        <f>IF(A792="","",IF(A792=Agendamento!$C$3,"x",""))</f>
        <v/>
      </c>
      <c r="G792" s="13" t="str">
        <f>IF(A792="","",IF(E792=Agendamento!$C$7,"x",""))</f>
        <v/>
      </c>
      <c r="H792" s="13" t="str">
        <f>IF(A792="","",IF(AND(Agendamento!$C$3="",Agendamento!$C$7&lt;&gt;""),IF(Agendamento!$C$7='Base de Dados'!E792,"x",""),IF(AND(Agendamento!$C$3&lt;&gt;"",Agendamento!$C$7=""),IF(Agendamento!$C$3='Base de Dados'!A792,"x",""),IF(AND(Agendamento!$C$3='Base de Dados'!A792,'Base de Dados'!E792=Agendamento!$C$7),"x",""))))</f>
        <v/>
      </c>
      <c r="I792" s="13" t="str">
        <f>IF(H792="x",COUNT($I$1:I791)+1,"")</f>
        <v/>
      </c>
    </row>
    <row r="793" spans="1:9" x14ac:dyDescent="0.25">
      <c r="A793" s="27"/>
      <c r="B793" s="28"/>
      <c r="C793" s="29"/>
      <c r="D793" s="29"/>
      <c r="E793" s="28"/>
      <c r="F793" s="13" t="str">
        <f>IF(A793="","",IF(A793=Agendamento!$C$3,"x",""))</f>
        <v/>
      </c>
      <c r="G793" s="13" t="str">
        <f>IF(A793="","",IF(E793=Agendamento!$C$7,"x",""))</f>
        <v/>
      </c>
      <c r="H793" s="13" t="str">
        <f>IF(A793="","",IF(AND(Agendamento!$C$3="",Agendamento!$C$7&lt;&gt;""),IF(Agendamento!$C$7='Base de Dados'!E793,"x",""),IF(AND(Agendamento!$C$3&lt;&gt;"",Agendamento!$C$7=""),IF(Agendamento!$C$3='Base de Dados'!A793,"x",""),IF(AND(Agendamento!$C$3='Base de Dados'!A793,'Base de Dados'!E793=Agendamento!$C$7),"x",""))))</f>
        <v/>
      </c>
      <c r="I793" s="13" t="str">
        <f>IF(H793="x",COUNT($I$1:I792)+1,"")</f>
        <v/>
      </c>
    </row>
    <row r="794" spans="1:9" x14ac:dyDescent="0.25">
      <c r="A794" s="27"/>
      <c r="B794" s="28"/>
      <c r="C794" s="29"/>
      <c r="D794" s="29"/>
      <c r="E794" s="28"/>
      <c r="F794" s="13" t="str">
        <f>IF(A794="","",IF(A794=Agendamento!$C$3,"x",""))</f>
        <v/>
      </c>
      <c r="G794" s="13" t="str">
        <f>IF(A794="","",IF(E794=Agendamento!$C$7,"x",""))</f>
        <v/>
      </c>
      <c r="H794" s="13" t="str">
        <f>IF(A794="","",IF(AND(Agendamento!$C$3="",Agendamento!$C$7&lt;&gt;""),IF(Agendamento!$C$7='Base de Dados'!E794,"x",""),IF(AND(Agendamento!$C$3&lt;&gt;"",Agendamento!$C$7=""),IF(Agendamento!$C$3='Base de Dados'!A794,"x",""),IF(AND(Agendamento!$C$3='Base de Dados'!A794,'Base de Dados'!E794=Agendamento!$C$7),"x",""))))</f>
        <v/>
      </c>
      <c r="I794" s="13" t="str">
        <f>IF(H794="x",COUNT($I$1:I793)+1,"")</f>
        <v/>
      </c>
    </row>
    <row r="795" spans="1:9" x14ac:dyDescent="0.25">
      <c r="A795" s="27"/>
      <c r="B795" s="28"/>
      <c r="C795" s="29"/>
      <c r="D795" s="29"/>
      <c r="E795" s="28"/>
      <c r="F795" s="13" t="str">
        <f>IF(A795="","",IF(A795=Agendamento!$C$3,"x",""))</f>
        <v/>
      </c>
      <c r="G795" s="13" t="str">
        <f>IF(A795="","",IF(E795=Agendamento!$C$7,"x",""))</f>
        <v/>
      </c>
      <c r="H795" s="13" t="str">
        <f>IF(A795="","",IF(AND(Agendamento!$C$3="",Agendamento!$C$7&lt;&gt;""),IF(Agendamento!$C$7='Base de Dados'!E795,"x",""),IF(AND(Agendamento!$C$3&lt;&gt;"",Agendamento!$C$7=""),IF(Agendamento!$C$3='Base de Dados'!A795,"x",""),IF(AND(Agendamento!$C$3='Base de Dados'!A795,'Base de Dados'!E795=Agendamento!$C$7),"x",""))))</f>
        <v/>
      </c>
      <c r="I795" s="13" t="str">
        <f>IF(H795="x",COUNT($I$1:I794)+1,"")</f>
        <v/>
      </c>
    </row>
    <row r="796" spans="1:9" x14ac:dyDescent="0.25">
      <c r="A796" s="27"/>
      <c r="B796" s="28"/>
      <c r="C796" s="29"/>
      <c r="D796" s="29"/>
      <c r="E796" s="28"/>
      <c r="F796" s="13" t="str">
        <f>IF(A796="","",IF(A796=Agendamento!$C$3,"x",""))</f>
        <v/>
      </c>
      <c r="G796" s="13" t="str">
        <f>IF(A796="","",IF(E796=Agendamento!$C$7,"x",""))</f>
        <v/>
      </c>
      <c r="H796" s="13" t="str">
        <f>IF(A796="","",IF(AND(Agendamento!$C$3="",Agendamento!$C$7&lt;&gt;""),IF(Agendamento!$C$7='Base de Dados'!E796,"x",""),IF(AND(Agendamento!$C$3&lt;&gt;"",Agendamento!$C$7=""),IF(Agendamento!$C$3='Base de Dados'!A796,"x",""),IF(AND(Agendamento!$C$3='Base de Dados'!A796,'Base de Dados'!E796=Agendamento!$C$7),"x",""))))</f>
        <v/>
      </c>
      <c r="I796" s="13" t="str">
        <f>IF(H796="x",COUNT($I$1:I795)+1,"")</f>
        <v/>
      </c>
    </row>
    <row r="797" spans="1:9" x14ac:dyDescent="0.25">
      <c r="A797" s="27"/>
      <c r="B797" s="28"/>
      <c r="C797" s="29"/>
      <c r="D797" s="29"/>
      <c r="E797" s="28"/>
      <c r="F797" s="13" t="str">
        <f>IF(A797="","",IF(A797=Agendamento!$C$3,"x",""))</f>
        <v/>
      </c>
      <c r="G797" s="13" t="str">
        <f>IF(A797="","",IF(E797=Agendamento!$C$7,"x",""))</f>
        <v/>
      </c>
      <c r="H797" s="13" t="str">
        <f>IF(A797="","",IF(AND(Agendamento!$C$3="",Agendamento!$C$7&lt;&gt;""),IF(Agendamento!$C$7='Base de Dados'!E797,"x",""),IF(AND(Agendamento!$C$3&lt;&gt;"",Agendamento!$C$7=""),IF(Agendamento!$C$3='Base de Dados'!A797,"x",""),IF(AND(Agendamento!$C$3='Base de Dados'!A797,'Base de Dados'!E797=Agendamento!$C$7),"x",""))))</f>
        <v/>
      </c>
      <c r="I797" s="13" t="str">
        <f>IF(H797="x",COUNT($I$1:I796)+1,"")</f>
        <v/>
      </c>
    </row>
    <row r="798" spans="1:9" x14ac:dyDescent="0.25">
      <c r="A798" s="27"/>
      <c r="B798" s="28"/>
      <c r="C798" s="29"/>
      <c r="D798" s="29"/>
      <c r="E798" s="28"/>
      <c r="F798" s="13" t="str">
        <f>IF(A798="","",IF(A798=Agendamento!$C$3,"x",""))</f>
        <v/>
      </c>
      <c r="G798" s="13" t="str">
        <f>IF(A798="","",IF(E798=Agendamento!$C$7,"x",""))</f>
        <v/>
      </c>
      <c r="H798" s="13" t="str">
        <f>IF(A798="","",IF(AND(Agendamento!$C$3="",Agendamento!$C$7&lt;&gt;""),IF(Agendamento!$C$7='Base de Dados'!E798,"x",""),IF(AND(Agendamento!$C$3&lt;&gt;"",Agendamento!$C$7=""),IF(Agendamento!$C$3='Base de Dados'!A798,"x",""),IF(AND(Agendamento!$C$3='Base de Dados'!A798,'Base de Dados'!E798=Agendamento!$C$7),"x",""))))</f>
        <v/>
      </c>
      <c r="I798" s="13" t="str">
        <f>IF(H798="x",COUNT($I$1:I797)+1,"")</f>
        <v/>
      </c>
    </row>
    <row r="799" spans="1:9" x14ac:dyDescent="0.25">
      <c r="A799" s="27"/>
      <c r="B799" s="28"/>
      <c r="C799" s="29"/>
      <c r="D799" s="29"/>
      <c r="E799" s="28"/>
      <c r="F799" s="13" t="str">
        <f>IF(A799="","",IF(A799=Agendamento!$C$3,"x",""))</f>
        <v/>
      </c>
      <c r="G799" s="13" t="str">
        <f>IF(A799="","",IF(E799=Agendamento!$C$7,"x",""))</f>
        <v/>
      </c>
      <c r="H799" s="13" t="str">
        <f>IF(A799="","",IF(AND(Agendamento!$C$3="",Agendamento!$C$7&lt;&gt;""),IF(Agendamento!$C$7='Base de Dados'!E799,"x",""),IF(AND(Agendamento!$C$3&lt;&gt;"",Agendamento!$C$7=""),IF(Agendamento!$C$3='Base de Dados'!A799,"x",""),IF(AND(Agendamento!$C$3='Base de Dados'!A799,'Base de Dados'!E799=Agendamento!$C$7),"x",""))))</f>
        <v/>
      </c>
      <c r="I799" s="13" t="str">
        <f>IF(H799="x",COUNT($I$1:I798)+1,"")</f>
        <v/>
      </c>
    </row>
    <row r="800" spans="1:9" x14ac:dyDescent="0.25">
      <c r="A800" s="27"/>
      <c r="B800" s="28"/>
      <c r="C800" s="29"/>
      <c r="D800" s="29"/>
      <c r="E800" s="28"/>
      <c r="F800" s="13" t="str">
        <f>IF(A800="","",IF(A800=Agendamento!$C$3,"x",""))</f>
        <v/>
      </c>
      <c r="G800" s="13" t="str">
        <f>IF(A800="","",IF(E800=Agendamento!$C$7,"x",""))</f>
        <v/>
      </c>
      <c r="H800" s="13" t="str">
        <f>IF(A800="","",IF(AND(Agendamento!$C$3="",Agendamento!$C$7&lt;&gt;""),IF(Agendamento!$C$7='Base de Dados'!E800,"x",""),IF(AND(Agendamento!$C$3&lt;&gt;"",Agendamento!$C$7=""),IF(Agendamento!$C$3='Base de Dados'!A800,"x",""),IF(AND(Agendamento!$C$3='Base de Dados'!A800,'Base de Dados'!E800=Agendamento!$C$7),"x",""))))</f>
        <v/>
      </c>
      <c r="I800" s="13" t="str">
        <f>IF(H800="x",COUNT($I$1:I799)+1,"")</f>
        <v/>
      </c>
    </row>
    <row r="801" spans="1:9" x14ac:dyDescent="0.25">
      <c r="A801" s="27"/>
      <c r="B801" s="28"/>
      <c r="C801" s="29"/>
      <c r="D801" s="29"/>
      <c r="E801" s="28"/>
      <c r="F801" s="13" t="str">
        <f>IF(A801="","",IF(A801=Agendamento!$C$3,"x",""))</f>
        <v/>
      </c>
      <c r="G801" s="13" t="str">
        <f>IF(A801="","",IF(E801=Agendamento!$C$7,"x",""))</f>
        <v/>
      </c>
      <c r="H801" s="13" t="str">
        <f>IF(A801="","",IF(AND(Agendamento!$C$3="",Agendamento!$C$7&lt;&gt;""),IF(Agendamento!$C$7='Base de Dados'!E801,"x",""),IF(AND(Agendamento!$C$3&lt;&gt;"",Agendamento!$C$7=""),IF(Agendamento!$C$3='Base de Dados'!A801,"x",""),IF(AND(Agendamento!$C$3='Base de Dados'!A801,'Base de Dados'!E801=Agendamento!$C$7),"x",""))))</f>
        <v/>
      </c>
      <c r="I801" s="13" t="str">
        <f>IF(H801="x",COUNT($I$1:I800)+1,"")</f>
        <v/>
      </c>
    </row>
    <row r="802" spans="1:9" x14ac:dyDescent="0.25">
      <c r="A802" s="27"/>
      <c r="B802" s="28"/>
      <c r="C802" s="29"/>
      <c r="D802" s="29"/>
      <c r="E802" s="28"/>
      <c r="F802" s="13" t="str">
        <f>IF(A802="","",IF(A802=Agendamento!$C$3,"x",""))</f>
        <v/>
      </c>
      <c r="G802" s="13" t="str">
        <f>IF(A802="","",IF(E802=Agendamento!$C$7,"x",""))</f>
        <v/>
      </c>
      <c r="H802" s="13" t="str">
        <f>IF(A802="","",IF(AND(Agendamento!$C$3="",Agendamento!$C$7&lt;&gt;""),IF(Agendamento!$C$7='Base de Dados'!E802,"x",""),IF(AND(Agendamento!$C$3&lt;&gt;"",Agendamento!$C$7=""),IF(Agendamento!$C$3='Base de Dados'!A802,"x",""),IF(AND(Agendamento!$C$3='Base de Dados'!A802,'Base de Dados'!E802=Agendamento!$C$7),"x",""))))</f>
        <v/>
      </c>
      <c r="I802" s="13" t="str">
        <f>IF(H802="x",COUNT($I$1:I801)+1,"")</f>
        <v/>
      </c>
    </row>
    <row r="803" spans="1:9" x14ac:dyDescent="0.25">
      <c r="A803" s="27"/>
      <c r="B803" s="28"/>
      <c r="C803" s="29"/>
      <c r="D803" s="29"/>
      <c r="E803" s="28"/>
      <c r="F803" s="13" t="str">
        <f>IF(A803="","",IF(A803=Agendamento!$C$3,"x",""))</f>
        <v/>
      </c>
      <c r="G803" s="13" t="str">
        <f>IF(A803="","",IF(E803=Agendamento!$C$7,"x",""))</f>
        <v/>
      </c>
      <c r="H803" s="13" t="str">
        <f>IF(A803="","",IF(AND(Agendamento!$C$3="",Agendamento!$C$7&lt;&gt;""),IF(Agendamento!$C$7='Base de Dados'!E803,"x",""),IF(AND(Agendamento!$C$3&lt;&gt;"",Agendamento!$C$7=""),IF(Agendamento!$C$3='Base de Dados'!A803,"x",""),IF(AND(Agendamento!$C$3='Base de Dados'!A803,'Base de Dados'!E803=Agendamento!$C$7),"x",""))))</f>
        <v/>
      </c>
      <c r="I803" s="13" t="str">
        <f>IF(H803="x",COUNT($I$1:I802)+1,"")</f>
        <v/>
      </c>
    </row>
    <row r="804" spans="1:9" x14ac:dyDescent="0.25">
      <c r="A804" s="27"/>
      <c r="B804" s="28"/>
      <c r="C804" s="29"/>
      <c r="D804" s="29"/>
      <c r="E804" s="28"/>
      <c r="F804" s="13" t="str">
        <f>IF(A804="","",IF(A804=Agendamento!$C$3,"x",""))</f>
        <v/>
      </c>
      <c r="G804" s="13" t="str">
        <f>IF(A804="","",IF(E804=Agendamento!$C$7,"x",""))</f>
        <v/>
      </c>
      <c r="H804" s="13" t="str">
        <f>IF(A804="","",IF(AND(Agendamento!$C$3="",Agendamento!$C$7&lt;&gt;""),IF(Agendamento!$C$7='Base de Dados'!E804,"x",""),IF(AND(Agendamento!$C$3&lt;&gt;"",Agendamento!$C$7=""),IF(Agendamento!$C$3='Base de Dados'!A804,"x",""),IF(AND(Agendamento!$C$3='Base de Dados'!A804,'Base de Dados'!E804=Agendamento!$C$7),"x",""))))</f>
        <v/>
      </c>
      <c r="I804" s="13" t="str">
        <f>IF(H804="x",COUNT($I$1:I803)+1,"")</f>
        <v/>
      </c>
    </row>
    <row r="805" spans="1:9" x14ac:dyDescent="0.25">
      <c r="A805" s="27"/>
      <c r="B805" s="28"/>
      <c r="C805" s="29"/>
      <c r="D805" s="29"/>
      <c r="E805" s="28"/>
      <c r="F805" s="13" t="str">
        <f>IF(A805="","",IF(A805=Agendamento!$C$3,"x",""))</f>
        <v/>
      </c>
      <c r="G805" s="13" t="str">
        <f>IF(A805="","",IF(E805=Agendamento!$C$7,"x",""))</f>
        <v/>
      </c>
      <c r="H805" s="13" t="str">
        <f>IF(A805="","",IF(AND(Agendamento!$C$3="",Agendamento!$C$7&lt;&gt;""),IF(Agendamento!$C$7='Base de Dados'!E805,"x",""),IF(AND(Agendamento!$C$3&lt;&gt;"",Agendamento!$C$7=""),IF(Agendamento!$C$3='Base de Dados'!A805,"x",""),IF(AND(Agendamento!$C$3='Base de Dados'!A805,'Base de Dados'!E805=Agendamento!$C$7),"x",""))))</f>
        <v/>
      </c>
      <c r="I805" s="13" t="str">
        <f>IF(H805="x",COUNT($I$1:I804)+1,"")</f>
        <v/>
      </c>
    </row>
    <row r="806" spans="1:9" x14ac:dyDescent="0.25">
      <c r="A806" s="27"/>
      <c r="B806" s="28"/>
      <c r="C806" s="29"/>
      <c r="D806" s="29"/>
      <c r="E806" s="28"/>
      <c r="F806" s="13" t="str">
        <f>IF(A806="","",IF(A806=Agendamento!$C$3,"x",""))</f>
        <v/>
      </c>
      <c r="G806" s="13" t="str">
        <f>IF(A806="","",IF(E806=Agendamento!$C$7,"x",""))</f>
        <v/>
      </c>
      <c r="H806" s="13" t="str">
        <f>IF(A806="","",IF(AND(Agendamento!$C$3="",Agendamento!$C$7&lt;&gt;""),IF(Agendamento!$C$7='Base de Dados'!E806,"x",""),IF(AND(Agendamento!$C$3&lt;&gt;"",Agendamento!$C$7=""),IF(Agendamento!$C$3='Base de Dados'!A806,"x",""),IF(AND(Agendamento!$C$3='Base de Dados'!A806,'Base de Dados'!E806=Agendamento!$C$7),"x",""))))</f>
        <v/>
      </c>
      <c r="I806" s="13" t="str">
        <f>IF(H806="x",COUNT($I$1:I805)+1,"")</f>
        <v/>
      </c>
    </row>
    <row r="807" spans="1:9" x14ac:dyDescent="0.25">
      <c r="A807" s="27"/>
      <c r="B807" s="28"/>
      <c r="C807" s="29"/>
      <c r="D807" s="29"/>
      <c r="E807" s="28"/>
      <c r="F807" s="13" t="str">
        <f>IF(A807="","",IF(A807=Agendamento!$C$3,"x",""))</f>
        <v/>
      </c>
      <c r="G807" s="13" t="str">
        <f>IF(A807="","",IF(E807=Agendamento!$C$7,"x",""))</f>
        <v/>
      </c>
      <c r="H807" s="13" t="str">
        <f>IF(A807="","",IF(AND(Agendamento!$C$3="",Agendamento!$C$7&lt;&gt;""),IF(Agendamento!$C$7='Base de Dados'!E807,"x",""),IF(AND(Agendamento!$C$3&lt;&gt;"",Agendamento!$C$7=""),IF(Agendamento!$C$3='Base de Dados'!A807,"x",""),IF(AND(Agendamento!$C$3='Base de Dados'!A807,'Base de Dados'!E807=Agendamento!$C$7),"x",""))))</f>
        <v/>
      </c>
      <c r="I807" s="13" t="str">
        <f>IF(H807="x",COUNT($I$1:I806)+1,"")</f>
        <v/>
      </c>
    </row>
    <row r="808" spans="1:9" x14ac:dyDescent="0.25">
      <c r="A808" s="27"/>
      <c r="B808" s="28"/>
      <c r="C808" s="29"/>
      <c r="D808" s="29"/>
      <c r="E808" s="28"/>
      <c r="F808" s="13" t="str">
        <f>IF(A808="","",IF(A808=Agendamento!$C$3,"x",""))</f>
        <v/>
      </c>
      <c r="G808" s="13" t="str">
        <f>IF(A808="","",IF(E808=Agendamento!$C$7,"x",""))</f>
        <v/>
      </c>
      <c r="H808" s="13" t="str">
        <f>IF(A808="","",IF(AND(Agendamento!$C$3="",Agendamento!$C$7&lt;&gt;""),IF(Agendamento!$C$7='Base de Dados'!E808,"x",""),IF(AND(Agendamento!$C$3&lt;&gt;"",Agendamento!$C$7=""),IF(Agendamento!$C$3='Base de Dados'!A808,"x",""),IF(AND(Agendamento!$C$3='Base de Dados'!A808,'Base de Dados'!E808=Agendamento!$C$7),"x",""))))</f>
        <v/>
      </c>
      <c r="I808" s="13" t="str">
        <f>IF(H808="x",COUNT($I$1:I807)+1,"")</f>
        <v/>
      </c>
    </row>
    <row r="809" spans="1:9" x14ac:dyDescent="0.25">
      <c r="A809" s="27"/>
      <c r="B809" s="28"/>
      <c r="C809" s="29"/>
      <c r="D809" s="29"/>
      <c r="E809" s="28"/>
      <c r="F809" s="13" t="str">
        <f>IF(A809="","",IF(A809=Agendamento!$C$3,"x",""))</f>
        <v/>
      </c>
      <c r="G809" s="13" t="str">
        <f>IF(A809="","",IF(E809=Agendamento!$C$7,"x",""))</f>
        <v/>
      </c>
      <c r="H809" s="13" t="str">
        <f>IF(A809="","",IF(AND(Agendamento!$C$3="",Agendamento!$C$7&lt;&gt;""),IF(Agendamento!$C$7='Base de Dados'!E809,"x",""),IF(AND(Agendamento!$C$3&lt;&gt;"",Agendamento!$C$7=""),IF(Agendamento!$C$3='Base de Dados'!A809,"x",""),IF(AND(Agendamento!$C$3='Base de Dados'!A809,'Base de Dados'!E809=Agendamento!$C$7),"x",""))))</f>
        <v/>
      </c>
      <c r="I809" s="13" t="str">
        <f>IF(H809="x",COUNT($I$1:I808)+1,"")</f>
        <v/>
      </c>
    </row>
    <row r="810" spans="1:9" x14ac:dyDescent="0.25">
      <c r="A810" s="27"/>
      <c r="B810" s="28"/>
      <c r="C810" s="29"/>
      <c r="D810" s="29"/>
      <c r="E810" s="28"/>
      <c r="F810" s="13" t="str">
        <f>IF(A810="","",IF(A810=Agendamento!$C$3,"x",""))</f>
        <v/>
      </c>
      <c r="G810" s="13" t="str">
        <f>IF(A810="","",IF(E810=Agendamento!$C$7,"x",""))</f>
        <v/>
      </c>
      <c r="H810" s="13" t="str">
        <f>IF(A810="","",IF(AND(Agendamento!$C$3="",Agendamento!$C$7&lt;&gt;""),IF(Agendamento!$C$7='Base de Dados'!E810,"x",""),IF(AND(Agendamento!$C$3&lt;&gt;"",Agendamento!$C$7=""),IF(Agendamento!$C$3='Base de Dados'!A810,"x",""),IF(AND(Agendamento!$C$3='Base de Dados'!A810,'Base de Dados'!E810=Agendamento!$C$7),"x",""))))</f>
        <v/>
      </c>
      <c r="I810" s="13" t="str">
        <f>IF(H810="x",COUNT($I$1:I809)+1,"")</f>
        <v/>
      </c>
    </row>
    <row r="811" spans="1:9" x14ac:dyDescent="0.25">
      <c r="A811" s="27"/>
      <c r="B811" s="28"/>
      <c r="C811" s="29"/>
      <c r="D811" s="29"/>
      <c r="E811" s="28"/>
      <c r="F811" s="13" t="str">
        <f>IF(A811="","",IF(A811=Agendamento!$C$3,"x",""))</f>
        <v/>
      </c>
      <c r="G811" s="13" t="str">
        <f>IF(A811="","",IF(E811=Agendamento!$C$7,"x",""))</f>
        <v/>
      </c>
      <c r="H811" s="13" t="str">
        <f>IF(A811="","",IF(AND(Agendamento!$C$3="",Agendamento!$C$7&lt;&gt;""),IF(Agendamento!$C$7='Base de Dados'!E811,"x",""),IF(AND(Agendamento!$C$3&lt;&gt;"",Agendamento!$C$7=""),IF(Agendamento!$C$3='Base de Dados'!A811,"x",""),IF(AND(Agendamento!$C$3='Base de Dados'!A811,'Base de Dados'!E811=Agendamento!$C$7),"x",""))))</f>
        <v/>
      </c>
      <c r="I811" s="13" t="str">
        <f>IF(H811="x",COUNT($I$1:I810)+1,"")</f>
        <v/>
      </c>
    </row>
    <row r="812" spans="1:9" x14ac:dyDescent="0.25">
      <c r="A812" s="27"/>
      <c r="B812" s="28"/>
      <c r="C812" s="29"/>
      <c r="D812" s="29"/>
      <c r="E812" s="28"/>
      <c r="F812" s="13" t="str">
        <f>IF(A812="","",IF(A812=Agendamento!$C$3,"x",""))</f>
        <v/>
      </c>
      <c r="G812" s="13" t="str">
        <f>IF(A812="","",IF(E812=Agendamento!$C$7,"x",""))</f>
        <v/>
      </c>
      <c r="H812" s="13" t="str">
        <f>IF(A812="","",IF(AND(Agendamento!$C$3="",Agendamento!$C$7&lt;&gt;""),IF(Agendamento!$C$7='Base de Dados'!E812,"x",""),IF(AND(Agendamento!$C$3&lt;&gt;"",Agendamento!$C$7=""),IF(Agendamento!$C$3='Base de Dados'!A812,"x",""),IF(AND(Agendamento!$C$3='Base de Dados'!A812,'Base de Dados'!E812=Agendamento!$C$7),"x",""))))</f>
        <v/>
      </c>
      <c r="I812" s="13" t="str">
        <f>IF(H812="x",COUNT($I$1:I811)+1,"")</f>
        <v/>
      </c>
    </row>
    <row r="813" spans="1:9" x14ac:dyDescent="0.25">
      <c r="A813" s="27"/>
      <c r="B813" s="28"/>
      <c r="C813" s="29"/>
      <c r="D813" s="29"/>
      <c r="E813" s="28"/>
      <c r="F813" s="13" t="str">
        <f>IF(A813="","",IF(A813=Agendamento!$C$3,"x",""))</f>
        <v/>
      </c>
      <c r="G813" s="13" t="str">
        <f>IF(A813="","",IF(E813=Agendamento!$C$7,"x",""))</f>
        <v/>
      </c>
      <c r="H813" s="13" t="str">
        <f>IF(A813="","",IF(AND(Agendamento!$C$3="",Agendamento!$C$7&lt;&gt;""),IF(Agendamento!$C$7='Base de Dados'!E813,"x",""),IF(AND(Agendamento!$C$3&lt;&gt;"",Agendamento!$C$7=""),IF(Agendamento!$C$3='Base de Dados'!A813,"x",""),IF(AND(Agendamento!$C$3='Base de Dados'!A813,'Base de Dados'!E813=Agendamento!$C$7),"x",""))))</f>
        <v/>
      </c>
      <c r="I813" s="13" t="str">
        <f>IF(H813="x",COUNT($I$1:I812)+1,"")</f>
        <v/>
      </c>
    </row>
    <row r="814" spans="1:9" x14ac:dyDescent="0.25">
      <c r="A814" s="27"/>
      <c r="B814" s="28"/>
      <c r="C814" s="29"/>
      <c r="D814" s="29"/>
      <c r="E814" s="28"/>
      <c r="F814" s="13" t="str">
        <f>IF(A814="","",IF(A814=Agendamento!$C$3,"x",""))</f>
        <v/>
      </c>
      <c r="G814" s="13" t="str">
        <f>IF(A814="","",IF(E814=Agendamento!$C$7,"x",""))</f>
        <v/>
      </c>
      <c r="H814" s="13" t="str">
        <f>IF(A814="","",IF(AND(Agendamento!$C$3="",Agendamento!$C$7&lt;&gt;""),IF(Agendamento!$C$7='Base de Dados'!E814,"x",""),IF(AND(Agendamento!$C$3&lt;&gt;"",Agendamento!$C$7=""),IF(Agendamento!$C$3='Base de Dados'!A814,"x",""),IF(AND(Agendamento!$C$3='Base de Dados'!A814,'Base de Dados'!E814=Agendamento!$C$7),"x",""))))</f>
        <v/>
      </c>
      <c r="I814" s="13" t="str">
        <f>IF(H814="x",COUNT($I$1:I813)+1,"")</f>
        <v/>
      </c>
    </row>
    <row r="815" spans="1:9" x14ac:dyDescent="0.25">
      <c r="A815" s="27"/>
      <c r="B815" s="28"/>
      <c r="C815" s="29"/>
      <c r="D815" s="29"/>
      <c r="E815" s="28"/>
      <c r="F815" s="13" t="str">
        <f>IF(A815="","",IF(A815=Agendamento!$C$3,"x",""))</f>
        <v/>
      </c>
      <c r="G815" s="13" t="str">
        <f>IF(A815="","",IF(E815=Agendamento!$C$7,"x",""))</f>
        <v/>
      </c>
      <c r="H815" s="13" t="str">
        <f>IF(A815="","",IF(AND(Agendamento!$C$3="",Agendamento!$C$7&lt;&gt;""),IF(Agendamento!$C$7='Base de Dados'!E815,"x",""),IF(AND(Agendamento!$C$3&lt;&gt;"",Agendamento!$C$7=""),IF(Agendamento!$C$3='Base de Dados'!A815,"x",""),IF(AND(Agendamento!$C$3='Base de Dados'!A815,'Base de Dados'!E815=Agendamento!$C$7),"x",""))))</f>
        <v/>
      </c>
      <c r="I815" s="13" t="str">
        <f>IF(H815="x",COUNT($I$1:I814)+1,"")</f>
        <v/>
      </c>
    </row>
    <row r="816" spans="1:9" x14ac:dyDescent="0.25">
      <c r="A816" s="27"/>
      <c r="B816" s="28"/>
      <c r="C816" s="29"/>
      <c r="D816" s="29"/>
      <c r="E816" s="28"/>
      <c r="F816" s="13" t="str">
        <f>IF(A816="","",IF(A816=Agendamento!$C$3,"x",""))</f>
        <v/>
      </c>
      <c r="G816" s="13" t="str">
        <f>IF(A816="","",IF(E816=Agendamento!$C$7,"x",""))</f>
        <v/>
      </c>
      <c r="H816" s="13" t="str">
        <f>IF(A816="","",IF(AND(Agendamento!$C$3="",Agendamento!$C$7&lt;&gt;""),IF(Agendamento!$C$7='Base de Dados'!E816,"x",""),IF(AND(Agendamento!$C$3&lt;&gt;"",Agendamento!$C$7=""),IF(Agendamento!$C$3='Base de Dados'!A816,"x",""),IF(AND(Agendamento!$C$3='Base de Dados'!A816,'Base de Dados'!E816=Agendamento!$C$7),"x",""))))</f>
        <v/>
      </c>
      <c r="I816" s="13" t="str">
        <f>IF(H816="x",COUNT($I$1:I815)+1,"")</f>
        <v/>
      </c>
    </row>
    <row r="817" spans="1:9" x14ac:dyDescent="0.25">
      <c r="A817" s="27"/>
      <c r="B817" s="28"/>
      <c r="C817" s="29"/>
      <c r="D817" s="29"/>
      <c r="E817" s="28"/>
      <c r="F817" s="13" t="str">
        <f>IF(A817="","",IF(A817=Agendamento!$C$3,"x",""))</f>
        <v/>
      </c>
      <c r="G817" s="13" t="str">
        <f>IF(A817="","",IF(E817=Agendamento!$C$7,"x",""))</f>
        <v/>
      </c>
      <c r="H817" s="13" t="str">
        <f>IF(A817="","",IF(AND(Agendamento!$C$3="",Agendamento!$C$7&lt;&gt;""),IF(Agendamento!$C$7='Base de Dados'!E817,"x",""),IF(AND(Agendamento!$C$3&lt;&gt;"",Agendamento!$C$7=""),IF(Agendamento!$C$3='Base de Dados'!A817,"x",""),IF(AND(Agendamento!$C$3='Base de Dados'!A817,'Base de Dados'!E817=Agendamento!$C$7),"x",""))))</f>
        <v/>
      </c>
      <c r="I817" s="13" t="str">
        <f>IF(H817="x",COUNT($I$1:I816)+1,"")</f>
        <v/>
      </c>
    </row>
    <row r="818" spans="1:9" x14ac:dyDescent="0.25">
      <c r="A818" s="27"/>
      <c r="B818" s="28"/>
      <c r="C818" s="29"/>
      <c r="D818" s="29"/>
      <c r="E818" s="28"/>
      <c r="F818" s="13" t="str">
        <f>IF(A818="","",IF(A818=Agendamento!$C$3,"x",""))</f>
        <v/>
      </c>
      <c r="G818" s="13" t="str">
        <f>IF(A818="","",IF(E818=Agendamento!$C$7,"x",""))</f>
        <v/>
      </c>
      <c r="H818" s="13" t="str">
        <f>IF(A818="","",IF(AND(Agendamento!$C$3="",Agendamento!$C$7&lt;&gt;""),IF(Agendamento!$C$7='Base de Dados'!E818,"x",""),IF(AND(Agendamento!$C$3&lt;&gt;"",Agendamento!$C$7=""),IF(Agendamento!$C$3='Base de Dados'!A818,"x",""),IF(AND(Agendamento!$C$3='Base de Dados'!A818,'Base de Dados'!E818=Agendamento!$C$7),"x",""))))</f>
        <v/>
      </c>
      <c r="I818" s="13" t="str">
        <f>IF(H818="x",COUNT($I$1:I817)+1,"")</f>
        <v/>
      </c>
    </row>
    <row r="819" spans="1:9" x14ac:dyDescent="0.25">
      <c r="A819" s="27"/>
      <c r="B819" s="28"/>
      <c r="C819" s="29"/>
      <c r="D819" s="29"/>
      <c r="E819" s="28"/>
      <c r="F819" s="13" t="str">
        <f>IF(A819="","",IF(A819=Agendamento!$C$3,"x",""))</f>
        <v/>
      </c>
      <c r="G819" s="13" t="str">
        <f>IF(A819="","",IF(E819=Agendamento!$C$7,"x",""))</f>
        <v/>
      </c>
      <c r="H819" s="13" t="str">
        <f>IF(A819="","",IF(AND(Agendamento!$C$3="",Agendamento!$C$7&lt;&gt;""),IF(Agendamento!$C$7='Base de Dados'!E819,"x",""),IF(AND(Agendamento!$C$3&lt;&gt;"",Agendamento!$C$7=""),IF(Agendamento!$C$3='Base de Dados'!A819,"x",""),IF(AND(Agendamento!$C$3='Base de Dados'!A819,'Base de Dados'!E819=Agendamento!$C$7),"x",""))))</f>
        <v/>
      </c>
      <c r="I819" s="13" t="str">
        <f>IF(H819="x",COUNT($I$1:I818)+1,"")</f>
        <v/>
      </c>
    </row>
    <row r="820" spans="1:9" x14ac:dyDescent="0.25">
      <c r="A820" s="27"/>
      <c r="B820" s="28"/>
      <c r="C820" s="29"/>
      <c r="D820" s="29"/>
      <c r="E820" s="28"/>
      <c r="F820" s="13" t="str">
        <f>IF(A820="","",IF(A820=Agendamento!$C$3,"x",""))</f>
        <v/>
      </c>
      <c r="G820" s="13" t="str">
        <f>IF(A820="","",IF(E820=Agendamento!$C$7,"x",""))</f>
        <v/>
      </c>
      <c r="H820" s="13" t="str">
        <f>IF(A820="","",IF(AND(Agendamento!$C$3="",Agendamento!$C$7&lt;&gt;""),IF(Agendamento!$C$7='Base de Dados'!E820,"x",""),IF(AND(Agendamento!$C$3&lt;&gt;"",Agendamento!$C$7=""),IF(Agendamento!$C$3='Base de Dados'!A820,"x",""),IF(AND(Agendamento!$C$3='Base de Dados'!A820,'Base de Dados'!E820=Agendamento!$C$7),"x",""))))</f>
        <v/>
      </c>
      <c r="I820" s="13" t="str">
        <f>IF(H820="x",COUNT($I$1:I819)+1,"")</f>
        <v/>
      </c>
    </row>
    <row r="821" spans="1:9" x14ac:dyDescent="0.25">
      <c r="A821" s="27"/>
      <c r="B821" s="28"/>
      <c r="C821" s="29"/>
      <c r="D821" s="29"/>
      <c r="E821" s="28"/>
      <c r="F821" s="13" t="str">
        <f>IF(A821="","",IF(A821=Agendamento!$C$3,"x",""))</f>
        <v/>
      </c>
      <c r="G821" s="13" t="str">
        <f>IF(A821="","",IF(E821=Agendamento!$C$7,"x",""))</f>
        <v/>
      </c>
      <c r="H821" s="13" t="str">
        <f>IF(A821="","",IF(AND(Agendamento!$C$3="",Agendamento!$C$7&lt;&gt;""),IF(Agendamento!$C$7='Base de Dados'!E821,"x",""),IF(AND(Agendamento!$C$3&lt;&gt;"",Agendamento!$C$7=""),IF(Agendamento!$C$3='Base de Dados'!A821,"x",""),IF(AND(Agendamento!$C$3='Base de Dados'!A821,'Base de Dados'!E821=Agendamento!$C$7),"x",""))))</f>
        <v/>
      </c>
      <c r="I821" s="13" t="str">
        <f>IF(H821="x",COUNT($I$1:I820)+1,"")</f>
        <v/>
      </c>
    </row>
    <row r="822" spans="1:9" x14ac:dyDescent="0.25">
      <c r="A822" s="27"/>
      <c r="B822" s="28"/>
      <c r="C822" s="29"/>
      <c r="D822" s="29"/>
      <c r="E822" s="28"/>
      <c r="F822" s="13" t="str">
        <f>IF(A822="","",IF(A822=Agendamento!$C$3,"x",""))</f>
        <v/>
      </c>
      <c r="G822" s="13" t="str">
        <f>IF(A822="","",IF(E822=Agendamento!$C$7,"x",""))</f>
        <v/>
      </c>
      <c r="H822" s="13" t="str">
        <f>IF(A822="","",IF(AND(Agendamento!$C$3="",Agendamento!$C$7&lt;&gt;""),IF(Agendamento!$C$7='Base de Dados'!E822,"x",""),IF(AND(Agendamento!$C$3&lt;&gt;"",Agendamento!$C$7=""),IF(Agendamento!$C$3='Base de Dados'!A822,"x",""),IF(AND(Agendamento!$C$3='Base de Dados'!A822,'Base de Dados'!E822=Agendamento!$C$7),"x",""))))</f>
        <v/>
      </c>
      <c r="I822" s="13" t="str">
        <f>IF(H822="x",COUNT($I$1:I821)+1,"")</f>
        <v/>
      </c>
    </row>
    <row r="823" spans="1:9" x14ac:dyDescent="0.25">
      <c r="A823" s="27"/>
      <c r="B823" s="28"/>
      <c r="C823" s="29"/>
      <c r="D823" s="29"/>
      <c r="E823" s="28"/>
      <c r="F823" s="13" t="str">
        <f>IF(A823="","",IF(A823=Agendamento!$C$3,"x",""))</f>
        <v/>
      </c>
      <c r="G823" s="13" t="str">
        <f>IF(A823="","",IF(E823=Agendamento!$C$7,"x",""))</f>
        <v/>
      </c>
      <c r="H823" s="13" t="str">
        <f>IF(A823="","",IF(AND(Agendamento!$C$3="",Agendamento!$C$7&lt;&gt;""),IF(Agendamento!$C$7='Base de Dados'!E823,"x",""),IF(AND(Agendamento!$C$3&lt;&gt;"",Agendamento!$C$7=""),IF(Agendamento!$C$3='Base de Dados'!A823,"x",""),IF(AND(Agendamento!$C$3='Base de Dados'!A823,'Base de Dados'!E823=Agendamento!$C$7),"x",""))))</f>
        <v/>
      </c>
      <c r="I823" s="13" t="str">
        <f>IF(H823="x",COUNT($I$1:I822)+1,"")</f>
        <v/>
      </c>
    </row>
    <row r="824" spans="1:9" x14ac:dyDescent="0.25">
      <c r="A824" s="27"/>
      <c r="B824" s="28"/>
      <c r="C824" s="29"/>
      <c r="D824" s="29"/>
      <c r="E824" s="28"/>
      <c r="F824" s="13" t="str">
        <f>IF(A824="","",IF(A824=Agendamento!$C$3,"x",""))</f>
        <v/>
      </c>
      <c r="G824" s="13" t="str">
        <f>IF(A824="","",IF(E824=Agendamento!$C$7,"x",""))</f>
        <v/>
      </c>
      <c r="H824" s="13" t="str">
        <f>IF(A824="","",IF(AND(Agendamento!$C$3="",Agendamento!$C$7&lt;&gt;""),IF(Agendamento!$C$7='Base de Dados'!E824,"x",""),IF(AND(Agendamento!$C$3&lt;&gt;"",Agendamento!$C$7=""),IF(Agendamento!$C$3='Base de Dados'!A824,"x",""),IF(AND(Agendamento!$C$3='Base de Dados'!A824,'Base de Dados'!E824=Agendamento!$C$7),"x",""))))</f>
        <v/>
      </c>
      <c r="I824" s="13" t="str">
        <f>IF(H824="x",COUNT($I$1:I823)+1,"")</f>
        <v/>
      </c>
    </row>
    <row r="825" spans="1:9" x14ac:dyDescent="0.25">
      <c r="A825" s="27"/>
      <c r="B825" s="28"/>
      <c r="C825" s="29"/>
      <c r="D825" s="29"/>
      <c r="E825" s="28"/>
      <c r="F825" s="13" t="str">
        <f>IF(A825="","",IF(A825=Agendamento!$C$3,"x",""))</f>
        <v/>
      </c>
      <c r="G825" s="13" t="str">
        <f>IF(A825="","",IF(E825=Agendamento!$C$7,"x",""))</f>
        <v/>
      </c>
      <c r="H825" s="13" t="str">
        <f>IF(A825="","",IF(AND(Agendamento!$C$3="",Agendamento!$C$7&lt;&gt;""),IF(Agendamento!$C$7='Base de Dados'!E825,"x",""),IF(AND(Agendamento!$C$3&lt;&gt;"",Agendamento!$C$7=""),IF(Agendamento!$C$3='Base de Dados'!A825,"x",""),IF(AND(Agendamento!$C$3='Base de Dados'!A825,'Base de Dados'!E825=Agendamento!$C$7),"x",""))))</f>
        <v/>
      </c>
      <c r="I825" s="13" t="str">
        <f>IF(H825="x",COUNT($I$1:I824)+1,"")</f>
        <v/>
      </c>
    </row>
    <row r="826" spans="1:9" x14ac:dyDescent="0.25">
      <c r="A826" s="27"/>
      <c r="B826" s="28"/>
      <c r="C826" s="29"/>
      <c r="D826" s="29"/>
      <c r="E826" s="28"/>
      <c r="F826" s="13" t="str">
        <f>IF(A826="","",IF(A826=Agendamento!$C$3,"x",""))</f>
        <v/>
      </c>
      <c r="G826" s="13" t="str">
        <f>IF(A826="","",IF(E826=Agendamento!$C$7,"x",""))</f>
        <v/>
      </c>
      <c r="H826" s="13" t="str">
        <f>IF(A826="","",IF(AND(Agendamento!$C$3="",Agendamento!$C$7&lt;&gt;""),IF(Agendamento!$C$7='Base de Dados'!E826,"x",""),IF(AND(Agendamento!$C$3&lt;&gt;"",Agendamento!$C$7=""),IF(Agendamento!$C$3='Base de Dados'!A826,"x",""),IF(AND(Agendamento!$C$3='Base de Dados'!A826,'Base de Dados'!E826=Agendamento!$C$7),"x",""))))</f>
        <v/>
      </c>
      <c r="I826" s="13" t="str">
        <f>IF(H826="x",COUNT($I$1:I825)+1,"")</f>
        <v/>
      </c>
    </row>
    <row r="827" spans="1:9" x14ac:dyDescent="0.25">
      <c r="A827" s="27"/>
      <c r="B827" s="28"/>
      <c r="C827" s="29"/>
      <c r="D827" s="29"/>
      <c r="E827" s="28"/>
      <c r="F827" s="13" t="str">
        <f>IF(A827="","",IF(A827=Agendamento!$C$3,"x",""))</f>
        <v/>
      </c>
      <c r="G827" s="13" t="str">
        <f>IF(A827="","",IF(E827=Agendamento!$C$7,"x",""))</f>
        <v/>
      </c>
      <c r="H827" s="13" t="str">
        <f>IF(A827="","",IF(AND(Agendamento!$C$3="",Agendamento!$C$7&lt;&gt;""),IF(Agendamento!$C$7='Base de Dados'!E827,"x",""),IF(AND(Agendamento!$C$3&lt;&gt;"",Agendamento!$C$7=""),IF(Agendamento!$C$3='Base de Dados'!A827,"x",""),IF(AND(Agendamento!$C$3='Base de Dados'!A827,'Base de Dados'!E827=Agendamento!$C$7),"x",""))))</f>
        <v/>
      </c>
      <c r="I827" s="13" t="str">
        <f>IF(H827="x",COUNT($I$1:I826)+1,"")</f>
        <v/>
      </c>
    </row>
    <row r="828" spans="1:9" x14ac:dyDescent="0.25">
      <c r="A828" s="27"/>
      <c r="B828" s="28"/>
      <c r="C828" s="29"/>
      <c r="D828" s="29"/>
      <c r="E828" s="28"/>
      <c r="F828" s="13" t="str">
        <f>IF(A828="","",IF(A828=Agendamento!$C$3,"x",""))</f>
        <v/>
      </c>
      <c r="G828" s="13" t="str">
        <f>IF(A828="","",IF(E828=Agendamento!$C$7,"x",""))</f>
        <v/>
      </c>
      <c r="H828" s="13" t="str">
        <f>IF(A828="","",IF(AND(Agendamento!$C$3="",Agendamento!$C$7&lt;&gt;""),IF(Agendamento!$C$7='Base de Dados'!E828,"x",""),IF(AND(Agendamento!$C$3&lt;&gt;"",Agendamento!$C$7=""),IF(Agendamento!$C$3='Base de Dados'!A828,"x",""),IF(AND(Agendamento!$C$3='Base de Dados'!A828,'Base de Dados'!E828=Agendamento!$C$7),"x",""))))</f>
        <v/>
      </c>
      <c r="I828" s="13" t="str">
        <f>IF(H828="x",COUNT($I$1:I827)+1,"")</f>
        <v/>
      </c>
    </row>
    <row r="829" spans="1:9" x14ac:dyDescent="0.25">
      <c r="A829" s="27"/>
      <c r="B829" s="28"/>
      <c r="C829" s="29"/>
      <c r="D829" s="29"/>
      <c r="E829" s="28"/>
      <c r="F829" s="13" t="str">
        <f>IF(A829="","",IF(A829=Agendamento!$C$3,"x",""))</f>
        <v/>
      </c>
      <c r="G829" s="13" t="str">
        <f>IF(A829="","",IF(E829=Agendamento!$C$7,"x",""))</f>
        <v/>
      </c>
      <c r="H829" s="13" t="str">
        <f>IF(A829="","",IF(AND(Agendamento!$C$3="",Agendamento!$C$7&lt;&gt;""),IF(Agendamento!$C$7='Base de Dados'!E829,"x",""),IF(AND(Agendamento!$C$3&lt;&gt;"",Agendamento!$C$7=""),IF(Agendamento!$C$3='Base de Dados'!A829,"x",""),IF(AND(Agendamento!$C$3='Base de Dados'!A829,'Base de Dados'!E829=Agendamento!$C$7),"x",""))))</f>
        <v/>
      </c>
      <c r="I829" s="13" t="str">
        <f>IF(H829="x",COUNT($I$1:I828)+1,"")</f>
        <v/>
      </c>
    </row>
    <row r="830" spans="1:9" x14ac:dyDescent="0.25">
      <c r="A830" s="27"/>
      <c r="B830" s="28"/>
      <c r="C830" s="29"/>
      <c r="D830" s="29"/>
      <c r="E830" s="28"/>
      <c r="F830" s="13" t="str">
        <f>IF(A830="","",IF(A830=Agendamento!$C$3,"x",""))</f>
        <v/>
      </c>
      <c r="G830" s="13" t="str">
        <f>IF(A830="","",IF(E830=Agendamento!$C$7,"x",""))</f>
        <v/>
      </c>
      <c r="H830" s="13" t="str">
        <f>IF(A830="","",IF(AND(Agendamento!$C$3="",Agendamento!$C$7&lt;&gt;""),IF(Agendamento!$C$7='Base de Dados'!E830,"x",""),IF(AND(Agendamento!$C$3&lt;&gt;"",Agendamento!$C$7=""),IF(Agendamento!$C$3='Base de Dados'!A830,"x",""),IF(AND(Agendamento!$C$3='Base de Dados'!A830,'Base de Dados'!E830=Agendamento!$C$7),"x",""))))</f>
        <v/>
      </c>
      <c r="I830" s="13" t="str">
        <f>IF(H830="x",COUNT($I$1:I829)+1,"")</f>
        <v/>
      </c>
    </row>
    <row r="831" spans="1:9" x14ac:dyDescent="0.25">
      <c r="A831" s="27"/>
      <c r="B831" s="28"/>
      <c r="C831" s="29"/>
      <c r="D831" s="29"/>
      <c r="E831" s="28"/>
      <c r="F831" s="13" t="str">
        <f>IF(A831="","",IF(A831=Agendamento!$C$3,"x",""))</f>
        <v/>
      </c>
      <c r="G831" s="13" t="str">
        <f>IF(A831="","",IF(E831=Agendamento!$C$7,"x",""))</f>
        <v/>
      </c>
      <c r="H831" s="13" t="str">
        <f>IF(A831="","",IF(AND(Agendamento!$C$3="",Agendamento!$C$7&lt;&gt;""),IF(Agendamento!$C$7='Base de Dados'!E831,"x",""),IF(AND(Agendamento!$C$3&lt;&gt;"",Agendamento!$C$7=""),IF(Agendamento!$C$3='Base de Dados'!A831,"x",""),IF(AND(Agendamento!$C$3='Base de Dados'!A831,'Base de Dados'!E831=Agendamento!$C$7),"x",""))))</f>
        <v/>
      </c>
      <c r="I831" s="13" t="str">
        <f>IF(H831="x",COUNT($I$1:I830)+1,"")</f>
        <v/>
      </c>
    </row>
    <row r="832" spans="1:9" x14ac:dyDescent="0.25">
      <c r="A832" s="27"/>
      <c r="B832" s="28"/>
      <c r="C832" s="29"/>
      <c r="D832" s="29"/>
      <c r="E832" s="28"/>
      <c r="F832" s="13" t="str">
        <f>IF(A832="","",IF(A832=Agendamento!$C$3,"x",""))</f>
        <v/>
      </c>
      <c r="G832" s="13" t="str">
        <f>IF(A832="","",IF(E832=Agendamento!$C$7,"x",""))</f>
        <v/>
      </c>
      <c r="H832" s="13" t="str">
        <f>IF(A832="","",IF(AND(Agendamento!$C$3="",Agendamento!$C$7&lt;&gt;""),IF(Agendamento!$C$7='Base de Dados'!E832,"x",""),IF(AND(Agendamento!$C$3&lt;&gt;"",Agendamento!$C$7=""),IF(Agendamento!$C$3='Base de Dados'!A832,"x",""),IF(AND(Agendamento!$C$3='Base de Dados'!A832,'Base de Dados'!E832=Agendamento!$C$7),"x",""))))</f>
        <v/>
      </c>
      <c r="I832" s="13" t="str">
        <f>IF(H832="x",COUNT($I$1:I831)+1,"")</f>
        <v/>
      </c>
    </row>
    <row r="833" spans="1:9" x14ac:dyDescent="0.25">
      <c r="A833" s="27"/>
      <c r="B833" s="28"/>
      <c r="C833" s="29"/>
      <c r="D833" s="29"/>
      <c r="E833" s="28"/>
      <c r="F833" s="13" t="str">
        <f>IF(A833="","",IF(A833=Agendamento!$C$3,"x",""))</f>
        <v/>
      </c>
      <c r="G833" s="13" t="str">
        <f>IF(A833="","",IF(E833=Agendamento!$C$7,"x",""))</f>
        <v/>
      </c>
      <c r="H833" s="13" t="str">
        <f>IF(A833="","",IF(AND(Agendamento!$C$3="",Agendamento!$C$7&lt;&gt;""),IF(Agendamento!$C$7='Base de Dados'!E833,"x",""),IF(AND(Agendamento!$C$3&lt;&gt;"",Agendamento!$C$7=""),IF(Agendamento!$C$3='Base de Dados'!A833,"x",""),IF(AND(Agendamento!$C$3='Base de Dados'!A833,'Base de Dados'!E833=Agendamento!$C$7),"x",""))))</f>
        <v/>
      </c>
      <c r="I833" s="13" t="str">
        <f>IF(H833="x",COUNT($I$1:I832)+1,"")</f>
        <v/>
      </c>
    </row>
    <row r="834" spans="1:9" x14ac:dyDescent="0.25">
      <c r="A834" s="27"/>
      <c r="B834" s="28"/>
      <c r="C834" s="29"/>
      <c r="D834" s="29"/>
      <c r="E834" s="28"/>
      <c r="F834" s="13" t="str">
        <f>IF(A834="","",IF(A834=Agendamento!$C$3,"x",""))</f>
        <v/>
      </c>
      <c r="G834" s="13" t="str">
        <f>IF(A834="","",IF(E834=Agendamento!$C$7,"x",""))</f>
        <v/>
      </c>
      <c r="H834" s="13" t="str">
        <f>IF(A834="","",IF(AND(Agendamento!$C$3="",Agendamento!$C$7&lt;&gt;""),IF(Agendamento!$C$7='Base de Dados'!E834,"x",""),IF(AND(Agendamento!$C$3&lt;&gt;"",Agendamento!$C$7=""),IF(Agendamento!$C$3='Base de Dados'!A834,"x",""),IF(AND(Agendamento!$C$3='Base de Dados'!A834,'Base de Dados'!E834=Agendamento!$C$7),"x",""))))</f>
        <v/>
      </c>
      <c r="I834" s="13" t="str">
        <f>IF(H834="x",COUNT($I$1:I833)+1,"")</f>
        <v/>
      </c>
    </row>
    <row r="835" spans="1:9" x14ac:dyDescent="0.25">
      <c r="A835" s="27"/>
      <c r="B835" s="28"/>
      <c r="C835" s="29"/>
      <c r="D835" s="29"/>
      <c r="E835" s="28"/>
      <c r="F835" s="13" t="str">
        <f>IF(A835="","",IF(A835=Agendamento!$C$3,"x",""))</f>
        <v/>
      </c>
      <c r="G835" s="13" t="str">
        <f>IF(A835="","",IF(E835=Agendamento!$C$7,"x",""))</f>
        <v/>
      </c>
      <c r="H835" s="13" t="str">
        <f>IF(A835="","",IF(AND(Agendamento!$C$3="",Agendamento!$C$7&lt;&gt;""),IF(Agendamento!$C$7='Base de Dados'!E835,"x",""),IF(AND(Agendamento!$C$3&lt;&gt;"",Agendamento!$C$7=""),IF(Agendamento!$C$3='Base de Dados'!A835,"x",""),IF(AND(Agendamento!$C$3='Base de Dados'!A835,'Base de Dados'!E835=Agendamento!$C$7),"x",""))))</f>
        <v/>
      </c>
      <c r="I835" s="13" t="str">
        <f>IF(H835="x",COUNT($I$1:I834)+1,"")</f>
        <v/>
      </c>
    </row>
    <row r="836" spans="1:9" x14ac:dyDescent="0.25">
      <c r="A836" s="27"/>
      <c r="B836" s="28"/>
      <c r="C836" s="29"/>
      <c r="D836" s="29"/>
      <c r="E836" s="28"/>
      <c r="F836" s="13" t="str">
        <f>IF(A836="","",IF(A836=Agendamento!$C$3,"x",""))</f>
        <v/>
      </c>
      <c r="G836" s="13" t="str">
        <f>IF(A836="","",IF(E836=Agendamento!$C$7,"x",""))</f>
        <v/>
      </c>
      <c r="H836" s="13" t="str">
        <f>IF(A836="","",IF(AND(Agendamento!$C$3="",Agendamento!$C$7&lt;&gt;""),IF(Agendamento!$C$7='Base de Dados'!E836,"x",""),IF(AND(Agendamento!$C$3&lt;&gt;"",Agendamento!$C$7=""),IF(Agendamento!$C$3='Base de Dados'!A836,"x",""),IF(AND(Agendamento!$C$3='Base de Dados'!A836,'Base de Dados'!E836=Agendamento!$C$7),"x",""))))</f>
        <v/>
      </c>
      <c r="I836" s="13" t="str">
        <f>IF(H836="x",COUNT($I$1:I835)+1,"")</f>
        <v/>
      </c>
    </row>
    <row r="837" spans="1:9" x14ac:dyDescent="0.25">
      <c r="A837" s="27"/>
      <c r="B837" s="28"/>
      <c r="C837" s="29"/>
      <c r="D837" s="29"/>
      <c r="E837" s="28"/>
      <c r="F837" s="13" t="str">
        <f>IF(A837="","",IF(A837=Agendamento!$C$3,"x",""))</f>
        <v/>
      </c>
      <c r="G837" s="13" t="str">
        <f>IF(A837="","",IF(E837=Agendamento!$C$7,"x",""))</f>
        <v/>
      </c>
      <c r="H837" s="13" t="str">
        <f>IF(A837="","",IF(AND(Agendamento!$C$3="",Agendamento!$C$7&lt;&gt;""),IF(Agendamento!$C$7='Base de Dados'!E837,"x",""),IF(AND(Agendamento!$C$3&lt;&gt;"",Agendamento!$C$7=""),IF(Agendamento!$C$3='Base de Dados'!A837,"x",""),IF(AND(Agendamento!$C$3='Base de Dados'!A837,'Base de Dados'!E837=Agendamento!$C$7),"x",""))))</f>
        <v/>
      </c>
      <c r="I837" s="13" t="str">
        <f>IF(H837="x",COUNT($I$1:I836)+1,"")</f>
        <v/>
      </c>
    </row>
    <row r="838" spans="1:9" x14ac:dyDescent="0.25">
      <c r="A838" s="27"/>
      <c r="B838" s="28"/>
      <c r="C838" s="29"/>
      <c r="D838" s="29"/>
      <c r="E838" s="28"/>
      <c r="F838" s="13" t="str">
        <f>IF(A838="","",IF(A838=Agendamento!$C$3,"x",""))</f>
        <v/>
      </c>
      <c r="G838" s="13" t="str">
        <f>IF(A838="","",IF(E838=Agendamento!$C$7,"x",""))</f>
        <v/>
      </c>
      <c r="H838" s="13" t="str">
        <f>IF(A838="","",IF(AND(Agendamento!$C$3="",Agendamento!$C$7&lt;&gt;""),IF(Agendamento!$C$7='Base de Dados'!E838,"x",""),IF(AND(Agendamento!$C$3&lt;&gt;"",Agendamento!$C$7=""),IF(Agendamento!$C$3='Base de Dados'!A838,"x",""),IF(AND(Agendamento!$C$3='Base de Dados'!A838,'Base de Dados'!E838=Agendamento!$C$7),"x",""))))</f>
        <v/>
      </c>
      <c r="I838" s="13" t="str">
        <f>IF(H838="x",COUNT($I$1:I837)+1,"")</f>
        <v/>
      </c>
    </row>
    <row r="839" spans="1:9" x14ac:dyDescent="0.25">
      <c r="A839" s="27"/>
      <c r="B839" s="28"/>
      <c r="C839" s="29"/>
      <c r="D839" s="29"/>
      <c r="E839" s="28"/>
      <c r="F839" s="13" t="str">
        <f>IF(A839="","",IF(A839=Agendamento!$C$3,"x",""))</f>
        <v/>
      </c>
      <c r="G839" s="13" t="str">
        <f>IF(A839="","",IF(E839=Agendamento!$C$7,"x",""))</f>
        <v/>
      </c>
      <c r="H839" s="13" t="str">
        <f>IF(A839="","",IF(AND(Agendamento!$C$3="",Agendamento!$C$7&lt;&gt;""),IF(Agendamento!$C$7='Base de Dados'!E839,"x",""),IF(AND(Agendamento!$C$3&lt;&gt;"",Agendamento!$C$7=""),IF(Agendamento!$C$3='Base de Dados'!A839,"x",""),IF(AND(Agendamento!$C$3='Base de Dados'!A839,'Base de Dados'!E839=Agendamento!$C$7),"x",""))))</f>
        <v/>
      </c>
      <c r="I839" s="13" t="str">
        <f>IF(H839="x",COUNT($I$1:I838)+1,"")</f>
        <v/>
      </c>
    </row>
    <row r="840" spans="1:9" x14ac:dyDescent="0.25">
      <c r="A840" s="27"/>
      <c r="B840" s="28"/>
      <c r="C840" s="29"/>
      <c r="D840" s="29"/>
      <c r="E840" s="28"/>
      <c r="F840" s="13" t="str">
        <f>IF(A840="","",IF(A840=Agendamento!$C$3,"x",""))</f>
        <v/>
      </c>
      <c r="G840" s="13" t="str">
        <f>IF(A840="","",IF(E840=Agendamento!$C$7,"x",""))</f>
        <v/>
      </c>
      <c r="H840" s="13" t="str">
        <f>IF(A840="","",IF(AND(Agendamento!$C$3="",Agendamento!$C$7&lt;&gt;""),IF(Agendamento!$C$7='Base de Dados'!E840,"x",""),IF(AND(Agendamento!$C$3&lt;&gt;"",Agendamento!$C$7=""),IF(Agendamento!$C$3='Base de Dados'!A840,"x",""),IF(AND(Agendamento!$C$3='Base de Dados'!A840,'Base de Dados'!E840=Agendamento!$C$7),"x",""))))</f>
        <v/>
      </c>
      <c r="I840" s="13" t="str">
        <f>IF(H840="x",COUNT($I$1:I839)+1,"")</f>
        <v/>
      </c>
    </row>
    <row r="841" spans="1:9" x14ac:dyDescent="0.25">
      <c r="A841" s="27"/>
      <c r="B841" s="28"/>
      <c r="C841" s="29"/>
      <c r="D841" s="29"/>
      <c r="E841" s="28"/>
      <c r="F841" s="13" t="str">
        <f>IF(A841="","",IF(A841=Agendamento!$C$3,"x",""))</f>
        <v/>
      </c>
      <c r="G841" s="13" t="str">
        <f>IF(A841="","",IF(E841=Agendamento!$C$7,"x",""))</f>
        <v/>
      </c>
      <c r="H841" s="13" t="str">
        <f>IF(A841="","",IF(AND(Agendamento!$C$3="",Agendamento!$C$7&lt;&gt;""),IF(Agendamento!$C$7='Base de Dados'!E841,"x",""),IF(AND(Agendamento!$C$3&lt;&gt;"",Agendamento!$C$7=""),IF(Agendamento!$C$3='Base de Dados'!A841,"x",""),IF(AND(Agendamento!$C$3='Base de Dados'!A841,'Base de Dados'!E841=Agendamento!$C$7),"x",""))))</f>
        <v/>
      </c>
      <c r="I841" s="13" t="str">
        <f>IF(H841="x",COUNT($I$1:I840)+1,"")</f>
        <v/>
      </c>
    </row>
    <row r="842" spans="1:9" x14ac:dyDescent="0.25">
      <c r="A842" s="27"/>
      <c r="B842" s="28"/>
      <c r="C842" s="29"/>
      <c r="D842" s="29"/>
      <c r="E842" s="28"/>
      <c r="F842" s="13" t="str">
        <f>IF(A842="","",IF(A842=Agendamento!$C$3,"x",""))</f>
        <v/>
      </c>
      <c r="G842" s="13" t="str">
        <f>IF(A842="","",IF(E842=Agendamento!$C$7,"x",""))</f>
        <v/>
      </c>
      <c r="H842" s="13" t="str">
        <f>IF(A842="","",IF(AND(Agendamento!$C$3="",Agendamento!$C$7&lt;&gt;""),IF(Agendamento!$C$7='Base de Dados'!E842,"x",""),IF(AND(Agendamento!$C$3&lt;&gt;"",Agendamento!$C$7=""),IF(Agendamento!$C$3='Base de Dados'!A842,"x",""),IF(AND(Agendamento!$C$3='Base de Dados'!A842,'Base de Dados'!E842=Agendamento!$C$7),"x",""))))</f>
        <v/>
      </c>
      <c r="I842" s="13" t="str">
        <f>IF(H842="x",COUNT($I$1:I841)+1,"")</f>
        <v/>
      </c>
    </row>
    <row r="843" spans="1:9" x14ac:dyDescent="0.25">
      <c r="A843" s="27"/>
      <c r="B843" s="28"/>
      <c r="C843" s="29"/>
      <c r="D843" s="29"/>
      <c r="E843" s="28"/>
      <c r="F843" s="13" t="str">
        <f>IF(A843="","",IF(A843=Agendamento!$C$3,"x",""))</f>
        <v/>
      </c>
      <c r="G843" s="13" t="str">
        <f>IF(A843="","",IF(E843=Agendamento!$C$7,"x",""))</f>
        <v/>
      </c>
      <c r="H843" s="13" t="str">
        <f>IF(A843="","",IF(AND(Agendamento!$C$3="",Agendamento!$C$7&lt;&gt;""),IF(Agendamento!$C$7='Base de Dados'!E843,"x",""),IF(AND(Agendamento!$C$3&lt;&gt;"",Agendamento!$C$7=""),IF(Agendamento!$C$3='Base de Dados'!A843,"x",""),IF(AND(Agendamento!$C$3='Base de Dados'!A843,'Base de Dados'!E843=Agendamento!$C$7),"x",""))))</f>
        <v/>
      </c>
      <c r="I843" s="13" t="str">
        <f>IF(H843="x",COUNT($I$1:I842)+1,"")</f>
        <v/>
      </c>
    </row>
    <row r="844" spans="1:9" x14ac:dyDescent="0.25">
      <c r="A844" s="27"/>
      <c r="B844" s="28"/>
      <c r="C844" s="29"/>
      <c r="D844" s="29"/>
      <c r="E844" s="28"/>
      <c r="F844" s="13" t="str">
        <f>IF(A844="","",IF(A844=Agendamento!$C$3,"x",""))</f>
        <v/>
      </c>
      <c r="G844" s="13" t="str">
        <f>IF(A844="","",IF(E844=Agendamento!$C$7,"x",""))</f>
        <v/>
      </c>
      <c r="H844" s="13" t="str">
        <f>IF(A844="","",IF(AND(Agendamento!$C$3="",Agendamento!$C$7&lt;&gt;""),IF(Agendamento!$C$7='Base de Dados'!E844,"x",""),IF(AND(Agendamento!$C$3&lt;&gt;"",Agendamento!$C$7=""),IF(Agendamento!$C$3='Base de Dados'!A844,"x",""),IF(AND(Agendamento!$C$3='Base de Dados'!A844,'Base de Dados'!E844=Agendamento!$C$7),"x",""))))</f>
        <v/>
      </c>
      <c r="I844" s="13" t="str">
        <f>IF(H844="x",COUNT($I$1:I843)+1,"")</f>
        <v/>
      </c>
    </row>
    <row r="845" spans="1:9" x14ac:dyDescent="0.25">
      <c r="A845" s="27"/>
      <c r="B845" s="28"/>
      <c r="C845" s="29"/>
      <c r="D845" s="29"/>
      <c r="E845" s="28"/>
      <c r="F845" s="13" t="str">
        <f>IF(A845="","",IF(A845=Agendamento!$C$3,"x",""))</f>
        <v/>
      </c>
      <c r="G845" s="13" t="str">
        <f>IF(A845="","",IF(E845=Agendamento!$C$7,"x",""))</f>
        <v/>
      </c>
      <c r="H845" s="13" t="str">
        <f>IF(A845="","",IF(AND(Agendamento!$C$3="",Agendamento!$C$7&lt;&gt;""),IF(Agendamento!$C$7='Base de Dados'!E845,"x",""),IF(AND(Agendamento!$C$3&lt;&gt;"",Agendamento!$C$7=""),IF(Agendamento!$C$3='Base de Dados'!A845,"x",""),IF(AND(Agendamento!$C$3='Base de Dados'!A845,'Base de Dados'!E845=Agendamento!$C$7),"x",""))))</f>
        <v/>
      </c>
      <c r="I845" s="13" t="str">
        <f>IF(H845="x",COUNT($I$1:I844)+1,"")</f>
        <v/>
      </c>
    </row>
    <row r="846" spans="1:9" x14ac:dyDescent="0.25">
      <c r="A846" s="27"/>
      <c r="B846" s="28"/>
      <c r="C846" s="29"/>
      <c r="D846" s="29"/>
      <c r="E846" s="28"/>
      <c r="F846" s="13" t="str">
        <f>IF(A846="","",IF(A846=Agendamento!$C$3,"x",""))</f>
        <v/>
      </c>
      <c r="G846" s="13" t="str">
        <f>IF(A846="","",IF(E846=Agendamento!$C$7,"x",""))</f>
        <v/>
      </c>
      <c r="H846" s="13" t="str">
        <f>IF(A846="","",IF(AND(Agendamento!$C$3="",Agendamento!$C$7&lt;&gt;""),IF(Agendamento!$C$7='Base de Dados'!E846,"x",""),IF(AND(Agendamento!$C$3&lt;&gt;"",Agendamento!$C$7=""),IF(Agendamento!$C$3='Base de Dados'!A846,"x",""),IF(AND(Agendamento!$C$3='Base de Dados'!A846,'Base de Dados'!E846=Agendamento!$C$7),"x",""))))</f>
        <v/>
      </c>
      <c r="I846" s="13" t="str">
        <f>IF(H846="x",COUNT($I$1:I845)+1,"")</f>
        <v/>
      </c>
    </row>
    <row r="847" spans="1:9" x14ac:dyDescent="0.25">
      <c r="A847" s="27"/>
      <c r="B847" s="28"/>
      <c r="C847" s="29"/>
      <c r="D847" s="29"/>
      <c r="E847" s="28"/>
      <c r="F847" s="13" t="str">
        <f>IF(A847="","",IF(A847=Agendamento!$C$3,"x",""))</f>
        <v/>
      </c>
      <c r="G847" s="13" t="str">
        <f>IF(A847="","",IF(E847=Agendamento!$C$7,"x",""))</f>
        <v/>
      </c>
      <c r="H847" s="13" t="str">
        <f>IF(A847="","",IF(AND(Agendamento!$C$3="",Agendamento!$C$7&lt;&gt;""),IF(Agendamento!$C$7='Base de Dados'!E847,"x",""),IF(AND(Agendamento!$C$3&lt;&gt;"",Agendamento!$C$7=""),IF(Agendamento!$C$3='Base de Dados'!A847,"x",""),IF(AND(Agendamento!$C$3='Base de Dados'!A847,'Base de Dados'!E847=Agendamento!$C$7),"x",""))))</f>
        <v/>
      </c>
      <c r="I847" s="13" t="str">
        <f>IF(H847="x",COUNT($I$1:I846)+1,"")</f>
        <v/>
      </c>
    </row>
    <row r="848" spans="1:9" x14ac:dyDescent="0.25">
      <c r="A848" s="27"/>
      <c r="B848" s="28"/>
      <c r="C848" s="29"/>
      <c r="D848" s="29"/>
      <c r="E848" s="28"/>
      <c r="F848" s="13" t="str">
        <f>IF(A848="","",IF(A848=Agendamento!$C$3,"x",""))</f>
        <v/>
      </c>
      <c r="G848" s="13" t="str">
        <f>IF(A848="","",IF(E848=Agendamento!$C$7,"x",""))</f>
        <v/>
      </c>
      <c r="H848" s="13" t="str">
        <f>IF(A848="","",IF(AND(Agendamento!$C$3="",Agendamento!$C$7&lt;&gt;""),IF(Agendamento!$C$7='Base de Dados'!E848,"x",""),IF(AND(Agendamento!$C$3&lt;&gt;"",Agendamento!$C$7=""),IF(Agendamento!$C$3='Base de Dados'!A848,"x",""),IF(AND(Agendamento!$C$3='Base de Dados'!A848,'Base de Dados'!E848=Agendamento!$C$7),"x",""))))</f>
        <v/>
      </c>
      <c r="I848" s="13" t="str">
        <f>IF(H848="x",COUNT($I$1:I847)+1,"")</f>
        <v/>
      </c>
    </row>
    <row r="849" spans="1:9" x14ac:dyDescent="0.25">
      <c r="A849" s="27"/>
      <c r="B849" s="28"/>
      <c r="C849" s="29"/>
      <c r="D849" s="29"/>
      <c r="E849" s="28"/>
      <c r="F849" s="13" t="str">
        <f>IF(A849="","",IF(A849=Agendamento!$C$3,"x",""))</f>
        <v/>
      </c>
      <c r="G849" s="13" t="str">
        <f>IF(A849="","",IF(E849=Agendamento!$C$7,"x",""))</f>
        <v/>
      </c>
      <c r="H849" s="13" t="str">
        <f>IF(A849="","",IF(AND(Agendamento!$C$3="",Agendamento!$C$7&lt;&gt;""),IF(Agendamento!$C$7='Base de Dados'!E849,"x",""),IF(AND(Agendamento!$C$3&lt;&gt;"",Agendamento!$C$7=""),IF(Agendamento!$C$3='Base de Dados'!A849,"x",""),IF(AND(Agendamento!$C$3='Base de Dados'!A849,'Base de Dados'!E849=Agendamento!$C$7),"x",""))))</f>
        <v/>
      </c>
      <c r="I849" s="13" t="str">
        <f>IF(H849="x",COUNT($I$1:I848)+1,"")</f>
        <v/>
      </c>
    </row>
    <row r="850" spans="1:9" x14ac:dyDescent="0.25">
      <c r="A850" s="27"/>
      <c r="B850" s="28"/>
      <c r="C850" s="29"/>
      <c r="D850" s="29"/>
      <c r="E850" s="28"/>
      <c r="F850" s="13" t="str">
        <f>IF(A850="","",IF(A850=Agendamento!$C$3,"x",""))</f>
        <v/>
      </c>
      <c r="G850" s="13" t="str">
        <f>IF(A850="","",IF(E850=Agendamento!$C$7,"x",""))</f>
        <v/>
      </c>
      <c r="H850" s="13" t="str">
        <f>IF(A850="","",IF(AND(Agendamento!$C$3="",Agendamento!$C$7&lt;&gt;""),IF(Agendamento!$C$7='Base de Dados'!E850,"x",""),IF(AND(Agendamento!$C$3&lt;&gt;"",Agendamento!$C$7=""),IF(Agendamento!$C$3='Base de Dados'!A850,"x",""),IF(AND(Agendamento!$C$3='Base de Dados'!A850,'Base de Dados'!E850=Agendamento!$C$7),"x",""))))</f>
        <v/>
      </c>
      <c r="I850" s="13" t="str">
        <f>IF(H850="x",COUNT($I$1:I849)+1,"")</f>
        <v/>
      </c>
    </row>
    <row r="851" spans="1:9" x14ac:dyDescent="0.25">
      <c r="A851" s="27"/>
      <c r="B851" s="28"/>
      <c r="C851" s="29"/>
      <c r="D851" s="29"/>
      <c r="E851" s="28"/>
      <c r="F851" s="13" t="str">
        <f>IF(A851="","",IF(A851=Agendamento!$C$3,"x",""))</f>
        <v/>
      </c>
      <c r="G851" s="13" t="str">
        <f>IF(A851="","",IF(E851=Agendamento!$C$7,"x",""))</f>
        <v/>
      </c>
      <c r="H851" s="13" t="str">
        <f>IF(A851="","",IF(AND(Agendamento!$C$3="",Agendamento!$C$7&lt;&gt;""),IF(Agendamento!$C$7='Base de Dados'!E851,"x",""),IF(AND(Agendamento!$C$3&lt;&gt;"",Agendamento!$C$7=""),IF(Agendamento!$C$3='Base de Dados'!A851,"x",""),IF(AND(Agendamento!$C$3='Base de Dados'!A851,'Base de Dados'!E851=Agendamento!$C$7),"x",""))))</f>
        <v/>
      </c>
      <c r="I851" s="13" t="str">
        <f>IF(H851="x",COUNT($I$1:I850)+1,"")</f>
        <v/>
      </c>
    </row>
    <row r="852" spans="1:9" x14ac:dyDescent="0.25">
      <c r="A852" s="27"/>
      <c r="B852" s="28"/>
      <c r="C852" s="29"/>
      <c r="D852" s="29"/>
      <c r="E852" s="28"/>
      <c r="F852" s="13" t="str">
        <f>IF(A852="","",IF(A852=Agendamento!$C$3,"x",""))</f>
        <v/>
      </c>
      <c r="G852" s="13" t="str">
        <f>IF(A852="","",IF(E852=Agendamento!$C$7,"x",""))</f>
        <v/>
      </c>
      <c r="H852" s="13" t="str">
        <f>IF(A852="","",IF(AND(Agendamento!$C$3="",Agendamento!$C$7&lt;&gt;""),IF(Agendamento!$C$7='Base de Dados'!E852,"x",""),IF(AND(Agendamento!$C$3&lt;&gt;"",Agendamento!$C$7=""),IF(Agendamento!$C$3='Base de Dados'!A852,"x",""),IF(AND(Agendamento!$C$3='Base de Dados'!A852,'Base de Dados'!E852=Agendamento!$C$7),"x",""))))</f>
        <v/>
      </c>
      <c r="I852" s="13" t="str">
        <f>IF(H852="x",COUNT($I$1:I851)+1,"")</f>
        <v/>
      </c>
    </row>
    <row r="853" spans="1:9" x14ac:dyDescent="0.25">
      <c r="A853" s="27"/>
      <c r="B853" s="28"/>
      <c r="C853" s="29"/>
      <c r="D853" s="29"/>
      <c r="E853" s="28"/>
      <c r="F853" s="13" t="str">
        <f>IF(A853="","",IF(A853=Agendamento!$C$3,"x",""))</f>
        <v/>
      </c>
      <c r="G853" s="13" t="str">
        <f>IF(A853="","",IF(E853=Agendamento!$C$7,"x",""))</f>
        <v/>
      </c>
      <c r="H853" s="13" t="str">
        <f>IF(A853="","",IF(AND(Agendamento!$C$3="",Agendamento!$C$7&lt;&gt;""),IF(Agendamento!$C$7='Base de Dados'!E853,"x",""),IF(AND(Agendamento!$C$3&lt;&gt;"",Agendamento!$C$7=""),IF(Agendamento!$C$3='Base de Dados'!A853,"x",""),IF(AND(Agendamento!$C$3='Base de Dados'!A853,'Base de Dados'!E853=Agendamento!$C$7),"x",""))))</f>
        <v/>
      </c>
      <c r="I853" s="13" t="str">
        <f>IF(H853="x",COUNT($I$1:I852)+1,"")</f>
        <v/>
      </c>
    </row>
    <row r="854" spans="1:9" x14ac:dyDescent="0.25">
      <c r="A854" s="27"/>
      <c r="B854" s="28"/>
      <c r="C854" s="29"/>
      <c r="D854" s="29"/>
      <c r="E854" s="28"/>
      <c r="F854" s="13" t="str">
        <f>IF(A854="","",IF(A854=Agendamento!$C$3,"x",""))</f>
        <v/>
      </c>
      <c r="G854" s="13" t="str">
        <f>IF(A854="","",IF(E854=Agendamento!$C$7,"x",""))</f>
        <v/>
      </c>
      <c r="H854" s="13" t="str">
        <f>IF(A854="","",IF(AND(Agendamento!$C$3="",Agendamento!$C$7&lt;&gt;""),IF(Agendamento!$C$7='Base de Dados'!E854,"x",""),IF(AND(Agendamento!$C$3&lt;&gt;"",Agendamento!$C$7=""),IF(Agendamento!$C$3='Base de Dados'!A854,"x",""),IF(AND(Agendamento!$C$3='Base de Dados'!A854,'Base de Dados'!E854=Agendamento!$C$7),"x",""))))</f>
        <v/>
      </c>
      <c r="I854" s="13" t="str">
        <f>IF(H854="x",COUNT($I$1:I853)+1,"")</f>
        <v/>
      </c>
    </row>
    <row r="855" spans="1:9" x14ac:dyDescent="0.25">
      <c r="A855" s="27"/>
      <c r="B855" s="28"/>
      <c r="C855" s="29"/>
      <c r="D855" s="29"/>
      <c r="E855" s="28"/>
      <c r="F855" s="13" t="str">
        <f>IF(A855="","",IF(A855=Agendamento!$C$3,"x",""))</f>
        <v/>
      </c>
      <c r="G855" s="13" t="str">
        <f>IF(A855="","",IF(E855=Agendamento!$C$7,"x",""))</f>
        <v/>
      </c>
      <c r="H855" s="13" t="str">
        <f>IF(A855="","",IF(AND(Agendamento!$C$3="",Agendamento!$C$7&lt;&gt;""),IF(Agendamento!$C$7='Base de Dados'!E855,"x",""),IF(AND(Agendamento!$C$3&lt;&gt;"",Agendamento!$C$7=""),IF(Agendamento!$C$3='Base de Dados'!A855,"x",""),IF(AND(Agendamento!$C$3='Base de Dados'!A855,'Base de Dados'!E855=Agendamento!$C$7),"x",""))))</f>
        <v/>
      </c>
      <c r="I855" s="13" t="str">
        <f>IF(H855="x",COUNT($I$1:I854)+1,"")</f>
        <v/>
      </c>
    </row>
    <row r="856" spans="1:9" x14ac:dyDescent="0.25">
      <c r="A856" s="27"/>
      <c r="B856" s="28"/>
      <c r="C856" s="29"/>
      <c r="D856" s="29"/>
      <c r="E856" s="28"/>
      <c r="F856" s="13" t="str">
        <f>IF(A856="","",IF(A856=Agendamento!$C$3,"x",""))</f>
        <v/>
      </c>
      <c r="G856" s="13" t="str">
        <f>IF(A856="","",IF(E856=Agendamento!$C$7,"x",""))</f>
        <v/>
      </c>
      <c r="H856" s="13" t="str">
        <f>IF(A856="","",IF(AND(Agendamento!$C$3="",Agendamento!$C$7&lt;&gt;""),IF(Agendamento!$C$7='Base de Dados'!E856,"x",""),IF(AND(Agendamento!$C$3&lt;&gt;"",Agendamento!$C$7=""),IF(Agendamento!$C$3='Base de Dados'!A856,"x",""),IF(AND(Agendamento!$C$3='Base de Dados'!A856,'Base de Dados'!E856=Agendamento!$C$7),"x",""))))</f>
        <v/>
      </c>
      <c r="I856" s="13" t="str">
        <f>IF(H856="x",COUNT($I$1:I855)+1,"")</f>
        <v/>
      </c>
    </row>
    <row r="857" spans="1:9" x14ac:dyDescent="0.25">
      <c r="A857" s="27"/>
      <c r="B857" s="28"/>
      <c r="C857" s="29"/>
      <c r="D857" s="29"/>
      <c r="E857" s="28"/>
      <c r="F857" s="13" t="str">
        <f>IF(A857="","",IF(A857=Agendamento!$C$3,"x",""))</f>
        <v/>
      </c>
      <c r="G857" s="13" t="str">
        <f>IF(A857="","",IF(E857=Agendamento!$C$7,"x",""))</f>
        <v/>
      </c>
      <c r="H857" s="13" t="str">
        <f>IF(A857="","",IF(AND(Agendamento!$C$3="",Agendamento!$C$7&lt;&gt;""),IF(Agendamento!$C$7='Base de Dados'!E857,"x",""),IF(AND(Agendamento!$C$3&lt;&gt;"",Agendamento!$C$7=""),IF(Agendamento!$C$3='Base de Dados'!A857,"x",""),IF(AND(Agendamento!$C$3='Base de Dados'!A857,'Base de Dados'!E857=Agendamento!$C$7),"x",""))))</f>
        <v/>
      </c>
      <c r="I857" s="13" t="str">
        <f>IF(H857="x",COUNT($I$1:I856)+1,"")</f>
        <v/>
      </c>
    </row>
    <row r="858" spans="1:9" x14ac:dyDescent="0.25">
      <c r="A858" s="27"/>
      <c r="B858" s="28"/>
      <c r="C858" s="29"/>
      <c r="D858" s="29"/>
      <c r="E858" s="28"/>
      <c r="F858" s="13" t="str">
        <f>IF(A858="","",IF(A858=Agendamento!$C$3,"x",""))</f>
        <v/>
      </c>
      <c r="G858" s="13" t="str">
        <f>IF(A858="","",IF(E858=Agendamento!$C$7,"x",""))</f>
        <v/>
      </c>
      <c r="H858" s="13" t="str">
        <f>IF(A858="","",IF(AND(Agendamento!$C$3="",Agendamento!$C$7&lt;&gt;""),IF(Agendamento!$C$7='Base de Dados'!E858,"x",""),IF(AND(Agendamento!$C$3&lt;&gt;"",Agendamento!$C$7=""),IF(Agendamento!$C$3='Base de Dados'!A858,"x",""),IF(AND(Agendamento!$C$3='Base de Dados'!A858,'Base de Dados'!E858=Agendamento!$C$7),"x",""))))</f>
        <v/>
      </c>
      <c r="I858" s="13" t="str">
        <f>IF(H858="x",COUNT($I$1:I857)+1,"")</f>
        <v/>
      </c>
    </row>
    <row r="859" spans="1:9" x14ac:dyDescent="0.25">
      <c r="A859" s="27"/>
      <c r="B859" s="28"/>
      <c r="C859" s="29"/>
      <c r="D859" s="29"/>
      <c r="E859" s="28"/>
      <c r="F859" s="13" t="str">
        <f>IF(A859="","",IF(A859=Agendamento!$C$3,"x",""))</f>
        <v/>
      </c>
      <c r="G859" s="13" t="str">
        <f>IF(A859="","",IF(E859=Agendamento!$C$7,"x",""))</f>
        <v/>
      </c>
      <c r="H859" s="13" t="str">
        <f>IF(A859="","",IF(AND(Agendamento!$C$3="",Agendamento!$C$7&lt;&gt;""),IF(Agendamento!$C$7='Base de Dados'!E859,"x",""),IF(AND(Agendamento!$C$3&lt;&gt;"",Agendamento!$C$7=""),IF(Agendamento!$C$3='Base de Dados'!A859,"x",""),IF(AND(Agendamento!$C$3='Base de Dados'!A859,'Base de Dados'!E859=Agendamento!$C$7),"x",""))))</f>
        <v/>
      </c>
      <c r="I859" s="13" t="str">
        <f>IF(H859="x",COUNT($I$1:I858)+1,"")</f>
        <v/>
      </c>
    </row>
    <row r="860" spans="1:9" x14ac:dyDescent="0.25">
      <c r="A860" s="27"/>
      <c r="B860" s="28"/>
      <c r="C860" s="29"/>
      <c r="D860" s="29"/>
      <c r="E860" s="28"/>
      <c r="F860" s="13" t="str">
        <f>IF(A860="","",IF(A860=Agendamento!$C$3,"x",""))</f>
        <v/>
      </c>
      <c r="G860" s="13" t="str">
        <f>IF(A860="","",IF(E860=Agendamento!$C$7,"x",""))</f>
        <v/>
      </c>
      <c r="H860" s="13" t="str">
        <f>IF(A860="","",IF(AND(Agendamento!$C$3="",Agendamento!$C$7&lt;&gt;""),IF(Agendamento!$C$7='Base de Dados'!E860,"x",""),IF(AND(Agendamento!$C$3&lt;&gt;"",Agendamento!$C$7=""),IF(Agendamento!$C$3='Base de Dados'!A860,"x",""),IF(AND(Agendamento!$C$3='Base de Dados'!A860,'Base de Dados'!E860=Agendamento!$C$7),"x",""))))</f>
        <v/>
      </c>
      <c r="I860" s="13" t="str">
        <f>IF(H860="x",COUNT($I$1:I859)+1,"")</f>
        <v/>
      </c>
    </row>
    <row r="861" spans="1:9" x14ac:dyDescent="0.25">
      <c r="A861" s="27"/>
      <c r="B861" s="28"/>
      <c r="C861" s="29"/>
      <c r="D861" s="29"/>
      <c r="E861" s="28"/>
      <c r="F861" s="13" t="str">
        <f>IF(A861="","",IF(A861=Agendamento!$C$3,"x",""))</f>
        <v/>
      </c>
      <c r="G861" s="13" t="str">
        <f>IF(A861="","",IF(E861=Agendamento!$C$7,"x",""))</f>
        <v/>
      </c>
      <c r="H861" s="13" t="str">
        <f>IF(A861="","",IF(AND(Agendamento!$C$3="",Agendamento!$C$7&lt;&gt;""),IF(Agendamento!$C$7='Base de Dados'!E861,"x",""),IF(AND(Agendamento!$C$3&lt;&gt;"",Agendamento!$C$7=""),IF(Agendamento!$C$3='Base de Dados'!A861,"x",""),IF(AND(Agendamento!$C$3='Base de Dados'!A861,'Base de Dados'!E861=Agendamento!$C$7),"x",""))))</f>
        <v/>
      </c>
      <c r="I861" s="13" t="str">
        <f>IF(H861="x",COUNT($I$1:I860)+1,"")</f>
        <v/>
      </c>
    </row>
    <row r="862" spans="1:9" x14ac:dyDescent="0.25">
      <c r="A862" s="27"/>
      <c r="B862" s="28"/>
      <c r="C862" s="29"/>
      <c r="D862" s="29"/>
      <c r="E862" s="28"/>
      <c r="F862" s="13" t="str">
        <f>IF(A862="","",IF(A862=Agendamento!$C$3,"x",""))</f>
        <v/>
      </c>
      <c r="G862" s="13" t="str">
        <f>IF(A862="","",IF(E862=Agendamento!$C$7,"x",""))</f>
        <v/>
      </c>
      <c r="H862" s="13" t="str">
        <f>IF(A862="","",IF(AND(Agendamento!$C$3="",Agendamento!$C$7&lt;&gt;""),IF(Agendamento!$C$7='Base de Dados'!E862,"x",""),IF(AND(Agendamento!$C$3&lt;&gt;"",Agendamento!$C$7=""),IF(Agendamento!$C$3='Base de Dados'!A862,"x",""),IF(AND(Agendamento!$C$3='Base de Dados'!A862,'Base de Dados'!E862=Agendamento!$C$7),"x",""))))</f>
        <v/>
      </c>
      <c r="I862" s="13" t="str">
        <f>IF(H862="x",COUNT($I$1:I861)+1,"")</f>
        <v/>
      </c>
    </row>
    <row r="863" spans="1:9" x14ac:dyDescent="0.25">
      <c r="A863" s="27"/>
      <c r="B863" s="28"/>
      <c r="C863" s="29"/>
      <c r="D863" s="29"/>
      <c r="E863" s="28"/>
      <c r="F863" s="13" t="str">
        <f>IF(A863="","",IF(A863=Agendamento!$C$3,"x",""))</f>
        <v/>
      </c>
      <c r="G863" s="13" t="str">
        <f>IF(A863="","",IF(E863=Agendamento!$C$7,"x",""))</f>
        <v/>
      </c>
      <c r="H863" s="13" t="str">
        <f>IF(A863="","",IF(AND(Agendamento!$C$3="",Agendamento!$C$7&lt;&gt;""),IF(Agendamento!$C$7='Base de Dados'!E863,"x",""),IF(AND(Agendamento!$C$3&lt;&gt;"",Agendamento!$C$7=""),IF(Agendamento!$C$3='Base de Dados'!A863,"x",""),IF(AND(Agendamento!$C$3='Base de Dados'!A863,'Base de Dados'!E863=Agendamento!$C$7),"x",""))))</f>
        <v/>
      </c>
      <c r="I863" s="13" t="str">
        <f>IF(H863="x",COUNT($I$1:I862)+1,"")</f>
        <v/>
      </c>
    </row>
    <row r="864" spans="1:9" x14ac:dyDescent="0.25">
      <c r="A864" s="27"/>
      <c r="B864" s="28"/>
      <c r="C864" s="29"/>
      <c r="D864" s="29"/>
      <c r="E864" s="28"/>
      <c r="F864" s="13" t="str">
        <f>IF(A864="","",IF(A864=Agendamento!$C$3,"x",""))</f>
        <v/>
      </c>
      <c r="G864" s="13" t="str">
        <f>IF(A864="","",IF(E864=Agendamento!$C$7,"x",""))</f>
        <v/>
      </c>
      <c r="H864" s="13" t="str">
        <f>IF(A864="","",IF(AND(Agendamento!$C$3="",Agendamento!$C$7&lt;&gt;""),IF(Agendamento!$C$7='Base de Dados'!E864,"x",""),IF(AND(Agendamento!$C$3&lt;&gt;"",Agendamento!$C$7=""),IF(Agendamento!$C$3='Base de Dados'!A864,"x",""),IF(AND(Agendamento!$C$3='Base de Dados'!A864,'Base de Dados'!E864=Agendamento!$C$7),"x",""))))</f>
        <v/>
      </c>
      <c r="I864" s="13" t="str">
        <f>IF(H864="x",COUNT($I$1:I863)+1,"")</f>
        <v/>
      </c>
    </row>
    <row r="865" spans="1:9" x14ac:dyDescent="0.25">
      <c r="A865" s="27"/>
      <c r="B865" s="28"/>
      <c r="C865" s="29"/>
      <c r="D865" s="29"/>
      <c r="E865" s="28"/>
      <c r="F865" s="13" t="str">
        <f>IF(A865="","",IF(A865=Agendamento!$C$3,"x",""))</f>
        <v/>
      </c>
      <c r="G865" s="13" t="str">
        <f>IF(A865="","",IF(E865=Agendamento!$C$7,"x",""))</f>
        <v/>
      </c>
      <c r="H865" s="13" t="str">
        <f>IF(A865="","",IF(AND(Agendamento!$C$3="",Agendamento!$C$7&lt;&gt;""),IF(Agendamento!$C$7='Base de Dados'!E865,"x",""),IF(AND(Agendamento!$C$3&lt;&gt;"",Agendamento!$C$7=""),IF(Agendamento!$C$3='Base de Dados'!A865,"x",""),IF(AND(Agendamento!$C$3='Base de Dados'!A865,'Base de Dados'!E865=Agendamento!$C$7),"x",""))))</f>
        <v/>
      </c>
      <c r="I865" s="13" t="str">
        <f>IF(H865="x",COUNT($I$1:I864)+1,"")</f>
        <v/>
      </c>
    </row>
    <row r="866" spans="1:9" x14ac:dyDescent="0.25">
      <c r="A866" s="27"/>
      <c r="B866" s="28"/>
      <c r="C866" s="29"/>
      <c r="D866" s="29"/>
      <c r="E866" s="28"/>
      <c r="F866" s="13" t="str">
        <f>IF(A866="","",IF(A866=Agendamento!$C$3,"x",""))</f>
        <v/>
      </c>
      <c r="G866" s="13" t="str">
        <f>IF(A866="","",IF(E866=Agendamento!$C$7,"x",""))</f>
        <v/>
      </c>
      <c r="H866" s="13" t="str">
        <f>IF(A866="","",IF(AND(Agendamento!$C$3="",Agendamento!$C$7&lt;&gt;""),IF(Agendamento!$C$7='Base de Dados'!E866,"x",""),IF(AND(Agendamento!$C$3&lt;&gt;"",Agendamento!$C$7=""),IF(Agendamento!$C$3='Base de Dados'!A866,"x",""),IF(AND(Agendamento!$C$3='Base de Dados'!A866,'Base de Dados'!E866=Agendamento!$C$7),"x",""))))</f>
        <v/>
      </c>
      <c r="I866" s="13" t="str">
        <f>IF(H866="x",COUNT($I$1:I865)+1,"")</f>
        <v/>
      </c>
    </row>
    <row r="867" spans="1:9" x14ac:dyDescent="0.25">
      <c r="A867" s="27"/>
      <c r="B867" s="28"/>
      <c r="C867" s="29"/>
      <c r="D867" s="29"/>
      <c r="E867" s="28"/>
      <c r="F867" s="13" t="str">
        <f>IF(A867="","",IF(A867=Agendamento!$C$3,"x",""))</f>
        <v/>
      </c>
      <c r="G867" s="13" t="str">
        <f>IF(A867="","",IF(E867=Agendamento!$C$7,"x",""))</f>
        <v/>
      </c>
      <c r="H867" s="13" t="str">
        <f>IF(A867="","",IF(AND(Agendamento!$C$3="",Agendamento!$C$7&lt;&gt;""),IF(Agendamento!$C$7='Base de Dados'!E867,"x",""),IF(AND(Agendamento!$C$3&lt;&gt;"",Agendamento!$C$7=""),IF(Agendamento!$C$3='Base de Dados'!A867,"x",""),IF(AND(Agendamento!$C$3='Base de Dados'!A867,'Base de Dados'!E867=Agendamento!$C$7),"x",""))))</f>
        <v/>
      </c>
      <c r="I867" s="13" t="str">
        <f>IF(H867="x",COUNT($I$1:I866)+1,"")</f>
        <v/>
      </c>
    </row>
    <row r="868" spans="1:9" x14ac:dyDescent="0.25">
      <c r="A868" s="27"/>
      <c r="B868" s="28"/>
      <c r="C868" s="29"/>
      <c r="D868" s="29"/>
      <c r="E868" s="28"/>
      <c r="F868" s="13" t="str">
        <f>IF(A868="","",IF(A868=Agendamento!$C$3,"x",""))</f>
        <v/>
      </c>
      <c r="G868" s="13" t="str">
        <f>IF(A868="","",IF(E868=Agendamento!$C$7,"x",""))</f>
        <v/>
      </c>
      <c r="H868" s="13" t="str">
        <f>IF(A868="","",IF(AND(Agendamento!$C$3="",Agendamento!$C$7&lt;&gt;""),IF(Agendamento!$C$7='Base de Dados'!E868,"x",""),IF(AND(Agendamento!$C$3&lt;&gt;"",Agendamento!$C$7=""),IF(Agendamento!$C$3='Base de Dados'!A868,"x",""),IF(AND(Agendamento!$C$3='Base de Dados'!A868,'Base de Dados'!E868=Agendamento!$C$7),"x",""))))</f>
        <v/>
      </c>
      <c r="I868" s="13" t="str">
        <f>IF(H868="x",COUNT($I$1:I867)+1,"")</f>
        <v/>
      </c>
    </row>
    <row r="869" spans="1:9" x14ac:dyDescent="0.25">
      <c r="A869" s="27"/>
      <c r="B869" s="28"/>
      <c r="C869" s="29"/>
      <c r="D869" s="29"/>
      <c r="E869" s="28"/>
      <c r="F869" s="13" t="str">
        <f>IF(A869="","",IF(A869=Agendamento!$C$3,"x",""))</f>
        <v/>
      </c>
      <c r="G869" s="13" t="str">
        <f>IF(A869="","",IF(E869=Agendamento!$C$7,"x",""))</f>
        <v/>
      </c>
      <c r="H869" s="13" t="str">
        <f>IF(A869="","",IF(AND(Agendamento!$C$3="",Agendamento!$C$7&lt;&gt;""),IF(Agendamento!$C$7='Base de Dados'!E869,"x",""),IF(AND(Agendamento!$C$3&lt;&gt;"",Agendamento!$C$7=""),IF(Agendamento!$C$3='Base de Dados'!A869,"x",""),IF(AND(Agendamento!$C$3='Base de Dados'!A869,'Base de Dados'!E869=Agendamento!$C$7),"x",""))))</f>
        <v/>
      </c>
      <c r="I869" s="13" t="str">
        <f>IF(H869="x",COUNT($I$1:I868)+1,"")</f>
        <v/>
      </c>
    </row>
    <row r="870" spans="1:9" x14ac:dyDescent="0.25">
      <c r="A870" s="27"/>
      <c r="B870" s="28"/>
      <c r="C870" s="29"/>
      <c r="D870" s="29"/>
      <c r="E870" s="28"/>
      <c r="F870" s="13" t="str">
        <f>IF(A870="","",IF(A870=Agendamento!$C$3,"x",""))</f>
        <v/>
      </c>
      <c r="G870" s="13" t="str">
        <f>IF(A870="","",IF(E870=Agendamento!$C$7,"x",""))</f>
        <v/>
      </c>
      <c r="H870" s="13" t="str">
        <f>IF(A870="","",IF(AND(Agendamento!$C$3="",Agendamento!$C$7&lt;&gt;""),IF(Agendamento!$C$7='Base de Dados'!E870,"x",""),IF(AND(Agendamento!$C$3&lt;&gt;"",Agendamento!$C$7=""),IF(Agendamento!$C$3='Base de Dados'!A870,"x",""),IF(AND(Agendamento!$C$3='Base de Dados'!A870,'Base de Dados'!E870=Agendamento!$C$7),"x",""))))</f>
        <v/>
      </c>
      <c r="I870" s="13" t="str">
        <f>IF(H870="x",COUNT($I$1:I869)+1,"")</f>
        <v/>
      </c>
    </row>
    <row r="871" spans="1:9" x14ac:dyDescent="0.25">
      <c r="A871" s="27"/>
      <c r="B871" s="28"/>
      <c r="C871" s="29"/>
      <c r="D871" s="29"/>
      <c r="E871" s="28"/>
      <c r="F871" s="13" t="str">
        <f>IF(A871="","",IF(A871=Agendamento!$C$3,"x",""))</f>
        <v/>
      </c>
      <c r="G871" s="13" t="str">
        <f>IF(A871="","",IF(E871=Agendamento!$C$7,"x",""))</f>
        <v/>
      </c>
      <c r="H871" s="13" t="str">
        <f>IF(A871="","",IF(AND(Agendamento!$C$3="",Agendamento!$C$7&lt;&gt;""),IF(Agendamento!$C$7='Base de Dados'!E871,"x",""),IF(AND(Agendamento!$C$3&lt;&gt;"",Agendamento!$C$7=""),IF(Agendamento!$C$3='Base de Dados'!A871,"x",""),IF(AND(Agendamento!$C$3='Base de Dados'!A871,'Base de Dados'!E871=Agendamento!$C$7),"x",""))))</f>
        <v/>
      </c>
      <c r="I871" s="13" t="str">
        <f>IF(H871="x",COUNT($I$1:I870)+1,"")</f>
        <v/>
      </c>
    </row>
    <row r="872" spans="1:9" x14ac:dyDescent="0.25">
      <c r="A872" s="27"/>
      <c r="B872" s="28"/>
      <c r="C872" s="29"/>
      <c r="D872" s="29"/>
      <c r="E872" s="28"/>
      <c r="F872" s="13" t="str">
        <f>IF(A872="","",IF(A872=Agendamento!$C$3,"x",""))</f>
        <v/>
      </c>
      <c r="G872" s="13" t="str">
        <f>IF(A872="","",IF(E872=Agendamento!$C$7,"x",""))</f>
        <v/>
      </c>
      <c r="H872" s="13" t="str">
        <f>IF(A872="","",IF(AND(Agendamento!$C$3="",Agendamento!$C$7&lt;&gt;""),IF(Agendamento!$C$7='Base de Dados'!E872,"x",""),IF(AND(Agendamento!$C$3&lt;&gt;"",Agendamento!$C$7=""),IF(Agendamento!$C$3='Base de Dados'!A872,"x",""),IF(AND(Agendamento!$C$3='Base de Dados'!A872,'Base de Dados'!E872=Agendamento!$C$7),"x",""))))</f>
        <v/>
      </c>
      <c r="I872" s="13" t="str">
        <f>IF(H872="x",COUNT($I$1:I871)+1,"")</f>
        <v/>
      </c>
    </row>
    <row r="873" spans="1:9" x14ac:dyDescent="0.25">
      <c r="A873" s="27"/>
      <c r="B873" s="28"/>
      <c r="C873" s="29"/>
      <c r="D873" s="29"/>
      <c r="E873" s="28"/>
      <c r="F873" s="13" t="str">
        <f>IF(A873="","",IF(A873=Agendamento!$C$3,"x",""))</f>
        <v/>
      </c>
      <c r="G873" s="13" t="str">
        <f>IF(A873="","",IF(E873=Agendamento!$C$7,"x",""))</f>
        <v/>
      </c>
      <c r="H873" s="13" t="str">
        <f>IF(A873="","",IF(AND(Agendamento!$C$3="",Agendamento!$C$7&lt;&gt;""),IF(Agendamento!$C$7='Base de Dados'!E873,"x",""),IF(AND(Agendamento!$C$3&lt;&gt;"",Agendamento!$C$7=""),IF(Agendamento!$C$3='Base de Dados'!A873,"x",""),IF(AND(Agendamento!$C$3='Base de Dados'!A873,'Base de Dados'!E873=Agendamento!$C$7),"x",""))))</f>
        <v/>
      </c>
      <c r="I873" s="13" t="str">
        <f>IF(H873="x",COUNT($I$1:I872)+1,"")</f>
        <v/>
      </c>
    </row>
    <row r="874" spans="1:9" x14ac:dyDescent="0.25">
      <c r="A874" s="27"/>
      <c r="B874" s="28"/>
      <c r="C874" s="29"/>
      <c r="D874" s="29"/>
      <c r="E874" s="28"/>
      <c r="F874" s="13" t="str">
        <f>IF(A874="","",IF(A874=Agendamento!$C$3,"x",""))</f>
        <v/>
      </c>
      <c r="G874" s="13" t="str">
        <f>IF(A874="","",IF(E874=Agendamento!$C$7,"x",""))</f>
        <v/>
      </c>
      <c r="H874" s="13" t="str">
        <f>IF(A874="","",IF(AND(Agendamento!$C$3="",Agendamento!$C$7&lt;&gt;""),IF(Agendamento!$C$7='Base de Dados'!E874,"x",""),IF(AND(Agendamento!$C$3&lt;&gt;"",Agendamento!$C$7=""),IF(Agendamento!$C$3='Base de Dados'!A874,"x",""),IF(AND(Agendamento!$C$3='Base de Dados'!A874,'Base de Dados'!E874=Agendamento!$C$7),"x",""))))</f>
        <v/>
      </c>
      <c r="I874" s="13" t="str">
        <f>IF(H874="x",COUNT($I$1:I873)+1,"")</f>
        <v/>
      </c>
    </row>
    <row r="875" spans="1:9" x14ac:dyDescent="0.25">
      <c r="A875" s="27"/>
      <c r="B875" s="28"/>
      <c r="C875" s="29"/>
      <c r="D875" s="29"/>
      <c r="E875" s="28"/>
      <c r="F875" s="13" t="str">
        <f>IF(A875="","",IF(A875=Agendamento!$C$3,"x",""))</f>
        <v/>
      </c>
      <c r="G875" s="13" t="str">
        <f>IF(A875="","",IF(E875=Agendamento!$C$7,"x",""))</f>
        <v/>
      </c>
      <c r="H875" s="13" t="str">
        <f>IF(A875="","",IF(AND(Agendamento!$C$3="",Agendamento!$C$7&lt;&gt;""),IF(Agendamento!$C$7='Base de Dados'!E875,"x",""),IF(AND(Agendamento!$C$3&lt;&gt;"",Agendamento!$C$7=""),IF(Agendamento!$C$3='Base de Dados'!A875,"x",""),IF(AND(Agendamento!$C$3='Base de Dados'!A875,'Base de Dados'!E875=Agendamento!$C$7),"x",""))))</f>
        <v/>
      </c>
      <c r="I875" s="13" t="str">
        <f>IF(H875="x",COUNT($I$1:I874)+1,"")</f>
        <v/>
      </c>
    </row>
    <row r="876" spans="1:9" x14ac:dyDescent="0.25">
      <c r="A876" s="27"/>
      <c r="B876" s="28"/>
      <c r="C876" s="29"/>
      <c r="D876" s="29"/>
      <c r="E876" s="28"/>
      <c r="F876" s="13" t="str">
        <f>IF(A876="","",IF(A876=Agendamento!$C$3,"x",""))</f>
        <v/>
      </c>
      <c r="G876" s="13" t="str">
        <f>IF(A876="","",IF(E876=Agendamento!$C$7,"x",""))</f>
        <v/>
      </c>
      <c r="H876" s="13" t="str">
        <f>IF(A876="","",IF(AND(Agendamento!$C$3="",Agendamento!$C$7&lt;&gt;""),IF(Agendamento!$C$7='Base de Dados'!E876,"x",""),IF(AND(Agendamento!$C$3&lt;&gt;"",Agendamento!$C$7=""),IF(Agendamento!$C$3='Base de Dados'!A876,"x",""),IF(AND(Agendamento!$C$3='Base de Dados'!A876,'Base de Dados'!E876=Agendamento!$C$7),"x",""))))</f>
        <v/>
      </c>
      <c r="I876" s="13" t="str">
        <f>IF(H876="x",COUNT($I$1:I875)+1,"")</f>
        <v/>
      </c>
    </row>
    <row r="877" spans="1:9" x14ac:dyDescent="0.25">
      <c r="A877" s="27"/>
      <c r="B877" s="28"/>
      <c r="C877" s="29"/>
      <c r="D877" s="29"/>
      <c r="E877" s="28"/>
      <c r="F877" s="13" t="str">
        <f>IF(A877="","",IF(A877=Agendamento!$C$3,"x",""))</f>
        <v/>
      </c>
      <c r="G877" s="13" t="str">
        <f>IF(A877="","",IF(E877=Agendamento!$C$7,"x",""))</f>
        <v/>
      </c>
      <c r="H877" s="13" t="str">
        <f>IF(A877="","",IF(AND(Agendamento!$C$3="",Agendamento!$C$7&lt;&gt;""),IF(Agendamento!$C$7='Base de Dados'!E877,"x",""),IF(AND(Agendamento!$C$3&lt;&gt;"",Agendamento!$C$7=""),IF(Agendamento!$C$3='Base de Dados'!A877,"x",""),IF(AND(Agendamento!$C$3='Base de Dados'!A877,'Base de Dados'!E877=Agendamento!$C$7),"x",""))))</f>
        <v/>
      </c>
      <c r="I877" s="13" t="str">
        <f>IF(H877="x",COUNT($I$1:I876)+1,"")</f>
        <v/>
      </c>
    </row>
    <row r="878" spans="1:9" x14ac:dyDescent="0.25">
      <c r="A878" s="27"/>
      <c r="B878" s="28"/>
      <c r="C878" s="29"/>
      <c r="D878" s="29"/>
      <c r="E878" s="28"/>
      <c r="F878" s="13" t="str">
        <f>IF(A878="","",IF(A878=Agendamento!$C$3,"x",""))</f>
        <v/>
      </c>
      <c r="G878" s="13" t="str">
        <f>IF(A878="","",IF(E878=Agendamento!$C$7,"x",""))</f>
        <v/>
      </c>
      <c r="H878" s="13" t="str">
        <f>IF(A878="","",IF(AND(Agendamento!$C$3="",Agendamento!$C$7&lt;&gt;""),IF(Agendamento!$C$7='Base de Dados'!E878,"x",""),IF(AND(Agendamento!$C$3&lt;&gt;"",Agendamento!$C$7=""),IF(Agendamento!$C$3='Base de Dados'!A878,"x",""),IF(AND(Agendamento!$C$3='Base de Dados'!A878,'Base de Dados'!E878=Agendamento!$C$7),"x",""))))</f>
        <v/>
      </c>
      <c r="I878" s="13" t="str">
        <f>IF(H878="x",COUNT($I$1:I877)+1,"")</f>
        <v/>
      </c>
    </row>
    <row r="879" spans="1:9" x14ac:dyDescent="0.25">
      <c r="A879" s="27"/>
      <c r="B879" s="28"/>
      <c r="C879" s="29"/>
      <c r="D879" s="29"/>
      <c r="E879" s="28"/>
      <c r="F879" s="13" t="str">
        <f>IF(A879="","",IF(A879=Agendamento!$C$3,"x",""))</f>
        <v/>
      </c>
      <c r="G879" s="13" t="str">
        <f>IF(A879="","",IF(E879=Agendamento!$C$7,"x",""))</f>
        <v/>
      </c>
      <c r="H879" s="13" t="str">
        <f>IF(A879="","",IF(AND(Agendamento!$C$3="",Agendamento!$C$7&lt;&gt;""),IF(Agendamento!$C$7='Base de Dados'!E879,"x",""),IF(AND(Agendamento!$C$3&lt;&gt;"",Agendamento!$C$7=""),IF(Agendamento!$C$3='Base de Dados'!A879,"x",""),IF(AND(Agendamento!$C$3='Base de Dados'!A879,'Base de Dados'!E879=Agendamento!$C$7),"x",""))))</f>
        <v/>
      </c>
      <c r="I879" s="13" t="str">
        <f>IF(H879="x",COUNT($I$1:I878)+1,"")</f>
        <v/>
      </c>
    </row>
    <row r="880" spans="1:9" x14ac:dyDescent="0.25">
      <c r="A880" s="27"/>
      <c r="B880" s="28"/>
      <c r="C880" s="29"/>
      <c r="D880" s="29"/>
      <c r="E880" s="28"/>
      <c r="F880" s="13" t="str">
        <f>IF(A880="","",IF(A880=Agendamento!$C$3,"x",""))</f>
        <v/>
      </c>
      <c r="G880" s="13" t="str">
        <f>IF(A880="","",IF(E880=Agendamento!$C$7,"x",""))</f>
        <v/>
      </c>
      <c r="H880" s="13" t="str">
        <f>IF(A880="","",IF(AND(Agendamento!$C$3="",Agendamento!$C$7&lt;&gt;""),IF(Agendamento!$C$7='Base de Dados'!E880,"x",""),IF(AND(Agendamento!$C$3&lt;&gt;"",Agendamento!$C$7=""),IF(Agendamento!$C$3='Base de Dados'!A880,"x",""),IF(AND(Agendamento!$C$3='Base de Dados'!A880,'Base de Dados'!E880=Agendamento!$C$7),"x",""))))</f>
        <v/>
      </c>
      <c r="I880" s="13" t="str">
        <f>IF(H880="x",COUNT($I$1:I879)+1,"")</f>
        <v/>
      </c>
    </row>
    <row r="881" spans="1:9" x14ac:dyDescent="0.25">
      <c r="A881" s="27"/>
      <c r="B881" s="28"/>
      <c r="C881" s="29"/>
      <c r="D881" s="29"/>
      <c r="E881" s="28"/>
      <c r="F881" s="13" t="str">
        <f>IF(A881="","",IF(A881=Agendamento!$C$3,"x",""))</f>
        <v/>
      </c>
      <c r="G881" s="13" t="str">
        <f>IF(A881="","",IF(E881=Agendamento!$C$7,"x",""))</f>
        <v/>
      </c>
      <c r="H881" s="13" t="str">
        <f>IF(A881="","",IF(AND(Agendamento!$C$3="",Agendamento!$C$7&lt;&gt;""),IF(Agendamento!$C$7='Base de Dados'!E881,"x",""),IF(AND(Agendamento!$C$3&lt;&gt;"",Agendamento!$C$7=""),IF(Agendamento!$C$3='Base de Dados'!A881,"x",""),IF(AND(Agendamento!$C$3='Base de Dados'!A881,'Base de Dados'!E881=Agendamento!$C$7),"x",""))))</f>
        <v/>
      </c>
      <c r="I881" s="13" t="str">
        <f>IF(H881="x",COUNT($I$1:I880)+1,"")</f>
        <v/>
      </c>
    </row>
    <row r="882" spans="1:9" x14ac:dyDescent="0.25">
      <c r="A882" s="27"/>
      <c r="B882" s="28"/>
      <c r="C882" s="29"/>
      <c r="D882" s="29"/>
      <c r="E882" s="28"/>
      <c r="F882" s="13" t="str">
        <f>IF(A882="","",IF(A882=Agendamento!$C$3,"x",""))</f>
        <v/>
      </c>
      <c r="G882" s="13" t="str">
        <f>IF(A882="","",IF(E882=Agendamento!$C$7,"x",""))</f>
        <v/>
      </c>
      <c r="H882" s="13" t="str">
        <f>IF(A882="","",IF(AND(Agendamento!$C$3="",Agendamento!$C$7&lt;&gt;""),IF(Agendamento!$C$7='Base de Dados'!E882,"x",""),IF(AND(Agendamento!$C$3&lt;&gt;"",Agendamento!$C$7=""),IF(Agendamento!$C$3='Base de Dados'!A882,"x",""),IF(AND(Agendamento!$C$3='Base de Dados'!A882,'Base de Dados'!E882=Agendamento!$C$7),"x",""))))</f>
        <v/>
      </c>
      <c r="I882" s="13" t="str">
        <f>IF(H882="x",COUNT($I$1:I881)+1,"")</f>
        <v/>
      </c>
    </row>
    <row r="883" spans="1:9" x14ac:dyDescent="0.25">
      <c r="A883" s="27"/>
      <c r="B883" s="28"/>
      <c r="C883" s="29"/>
      <c r="D883" s="29"/>
      <c r="E883" s="28"/>
      <c r="F883" s="13" t="str">
        <f>IF(A883="","",IF(A883=Agendamento!$C$3,"x",""))</f>
        <v/>
      </c>
      <c r="G883" s="13" t="str">
        <f>IF(A883="","",IF(E883=Agendamento!$C$7,"x",""))</f>
        <v/>
      </c>
      <c r="H883" s="13" t="str">
        <f>IF(A883="","",IF(AND(Agendamento!$C$3="",Agendamento!$C$7&lt;&gt;""),IF(Agendamento!$C$7='Base de Dados'!E883,"x",""),IF(AND(Agendamento!$C$3&lt;&gt;"",Agendamento!$C$7=""),IF(Agendamento!$C$3='Base de Dados'!A883,"x",""),IF(AND(Agendamento!$C$3='Base de Dados'!A883,'Base de Dados'!E883=Agendamento!$C$7),"x",""))))</f>
        <v/>
      </c>
      <c r="I883" s="13" t="str">
        <f>IF(H883="x",COUNT($I$1:I882)+1,"")</f>
        <v/>
      </c>
    </row>
    <row r="884" spans="1:9" x14ac:dyDescent="0.25">
      <c r="A884" s="27"/>
      <c r="B884" s="28"/>
      <c r="C884" s="29"/>
      <c r="D884" s="29"/>
      <c r="E884" s="28"/>
      <c r="F884" s="13" t="str">
        <f>IF(A884="","",IF(A884=Agendamento!$C$3,"x",""))</f>
        <v/>
      </c>
      <c r="G884" s="13" t="str">
        <f>IF(A884="","",IF(E884=Agendamento!$C$7,"x",""))</f>
        <v/>
      </c>
      <c r="H884" s="13" t="str">
        <f>IF(A884="","",IF(AND(Agendamento!$C$3="",Agendamento!$C$7&lt;&gt;""),IF(Agendamento!$C$7='Base de Dados'!E884,"x",""),IF(AND(Agendamento!$C$3&lt;&gt;"",Agendamento!$C$7=""),IF(Agendamento!$C$3='Base de Dados'!A884,"x",""),IF(AND(Agendamento!$C$3='Base de Dados'!A884,'Base de Dados'!E884=Agendamento!$C$7),"x",""))))</f>
        <v/>
      </c>
      <c r="I884" s="13" t="str">
        <f>IF(H884="x",COUNT($I$1:I883)+1,"")</f>
        <v/>
      </c>
    </row>
    <row r="885" spans="1:9" x14ac:dyDescent="0.25">
      <c r="A885" s="27"/>
      <c r="B885" s="28"/>
      <c r="C885" s="29"/>
      <c r="D885" s="29"/>
      <c r="E885" s="28"/>
      <c r="F885" s="13" t="str">
        <f>IF(A885="","",IF(A885=Agendamento!$C$3,"x",""))</f>
        <v/>
      </c>
      <c r="G885" s="13" t="str">
        <f>IF(A885="","",IF(E885=Agendamento!$C$7,"x",""))</f>
        <v/>
      </c>
      <c r="H885" s="13" t="str">
        <f>IF(A885="","",IF(AND(Agendamento!$C$3="",Agendamento!$C$7&lt;&gt;""),IF(Agendamento!$C$7='Base de Dados'!E885,"x",""),IF(AND(Agendamento!$C$3&lt;&gt;"",Agendamento!$C$7=""),IF(Agendamento!$C$3='Base de Dados'!A885,"x",""),IF(AND(Agendamento!$C$3='Base de Dados'!A885,'Base de Dados'!E885=Agendamento!$C$7),"x",""))))</f>
        <v/>
      </c>
      <c r="I885" s="13" t="str">
        <f>IF(H885="x",COUNT($I$1:I884)+1,"")</f>
        <v/>
      </c>
    </row>
    <row r="886" spans="1:9" x14ac:dyDescent="0.25">
      <c r="A886" s="27"/>
      <c r="B886" s="28"/>
      <c r="C886" s="29"/>
      <c r="D886" s="29"/>
      <c r="E886" s="28"/>
      <c r="F886" s="13" t="str">
        <f>IF(A886="","",IF(A886=Agendamento!$C$3,"x",""))</f>
        <v/>
      </c>
      <c r="G886" s="13" t="str">
        <f>IF(A886="","",IF(E886=Agendamento!$C$7,"x",""))</f>
        <v/>
      </c>
      <c r="H886" s="13" t="str">
        <f>IF(A886="","",IF(AND(Agendamento!$C$3="",Agendamento!$C$7&lt;&gt;""),IF(Agendamento!$C$7='Base de Dados'!E886,"x",""),IF(AND(Agendamento!$C$3&lt;&gt;"",Agendamento!$C$7=""),IF(Agendamento!$C$3='Base de Dados'!A886,"x",""),IF(AND(Agendamento!$C$3='Base de Dados'!A886,'Base de Dados'!E886=Agendamento!$C$7),"x",""))))</f>
        <v/>
      </c>
      <c r="I886" s="13" t="str">
        <f>IF(H886="x",COUNT($I$1:I885)+1,"")</f>
        <v/>
      </c>
    </row>
    <row r="887" spans="1:9" x14ac:dyDescent="0.25">
      <c r="A887" s="27"/>
      <c r="B887" s="28"/>
      <c r="C887" s="29"/>
      <c r="D887" s="29"/>
      <c r="E887" s="28"/>
      <c r="F887" s="13" t="str">
        <f>IF(A887="","",IF(A887=Agendamento!$C$3,"x",""))</f>
        <v/>
      </c>
      <c r="G887" s="13" t="str">
        <f>IF(A887="","",IF(E887=Agendamento!$C$7,"x",""))</f>
        <v/>
      </c>
      <c r="H887" s="13" t="str">
        <f>IF(A887="","",IF(AND(Agendamento!$C$3="",Agendamento!$C$7&lt;&gt;""),IF(Agendamento!$C$7='Base de Dados'!E887,"x",""),IF(AND(Agendamento!$C$3&lt;&gt;"",Agendamento!$C$7=""),IF(Agendamento!$C$3='Base de Dados'!A887,"x",""),IF(AND(Agendamento!$C$3='Base de Dados'!A887,'Base de Dados'!E887=Agendamento!$C$7),"x",""))))</f>
        <v/>
      </c>
      <c r="I887" s="13" t="str">
        <f>IF(H887="x",COUNT($I$1:I886)+1,"")</f>
        <v/>
      </c>
    </row>
    <row r="888" spans="1:9" x14ac:dyDescent="0.25">
      <c r="A888" s="27"/>
      <c r="B888" s="28"/>
      <c r="C888" s="29"/>
      <c r="D888" s="29"/>
      <c r="E888" s="28"/>
      <c r="F888" s="13" t="str">
        <f>IF(A888="","",IF(A888=Agendamento!$C$3,"x",""))</f>
        <v/>
      </c>
      <c r="G888" s="13" t="str">
        <f>IF(A888="","",IF(E888=Agendamento!$C$7,"x",""))</f>
        <v/>
      </c>
      <c r="H888" s="13" t="str">
        <f>IF(A888="","",IF(AND(Agendamento!$C$3="",Agendamento!$C$7&lt;&gt;""),IF(Agendamento!$C$7='Base de Dados'!E888,"x",""),IF(AND(Agendamento!$C$3&lt;&gt;"",Agendamento!$C$7=""),IF(Agendamento!$C$3='Base de Dados'!A888,"x",""),IF(AND(Agendamento!$C$3='Base de Dados'!A888,'Base de Dados'!E888=Agendamento!$C$7),"x",""))))</f>
        <v/>
      </c>
      <c r="I888" s="13" t="str">
        <f>IF(H888="x",COUNT($I$1:I887)+1,"")</f>
        <v/>
      </c>
    </row>
    <row r="889" spans="1:9" x14ac:dyDescent="0.25">
      <c r="A889" s="27"/>
      <c r="B889" s="28"/>
      <c r="C889" s="29"/>
      <c r="D889" s="29"/>
      <c r="E889" s="28"/>
      <c r="F889" s="13" t="str">
        <f>IF(A889="","",IF(A889=Agendamento!$C$3,"x",""))</f>
        <v/>
      </c>
      <c r="G889" s="13" t="str">
        <f>IF(A889="","",IF(E889=Agendamento!$C$7,"x",""))</f>
        <v/>
      </c>
      <c r="H889" s="13" t="str">
        <f>IF(A889="","",IF(AND(Agendamento!$C$3="",Agendamento!$C$7&lt;&gt;""),IF(Agendamento!$C$7='Base de Dados'!E889,"x",""),IF(AND(Agendamento!$C$3&lt;&gt;"",Agendamento!$C$7=""),IF(Agendamento!$C$3='Base de Dados'!A889,"x",""),IF(AND(Agendamento!$C$3='Base de Dados'!A889,'Base de Dados'!E889=Agendamento!$C$7),"x",""))))</f>
        <v/>
      </c>
      <c r="I889" s="13" t="str">
        <f>IF(H889="x",COUNT($I$1:I888)+1,"")</f>
        <v/>
      </c>
    </row>
    <row r="890" spans="1:9" x14ac:dyDescent="0.25">
      <c r="A890" s="27"/>
      <c r="B890" s="28"/>
      <c r="C890" s="29"/>
      <c r="D890" s="29"/>
      <c r="E890" s="28"/>
      <c r="F890" s="13" t="str">
        <f>IF(A890="","",IF(A890=Agendamento!$C$3,"x",""))</f>
        <v/>
      </c>
      <c r="G890" s="13" t="str">
        <f>IF(A890="","",IF(E890=Agendamento!$C$7,"x",""))</f>
        <v/>
      </c>
      <c r="H890" s="13" t="str">
        <f>IF(A890="","",IF(AND(Agendamento!$C$3="",Agendamento!$C$7&lt;&gt;""),IF(Agendamento!$C$7='Base de Dados'!E890,"x",""),IF(AND(Agendamento!$C$3&lt;&gt;"",Agendamento!$C$7=""),IF(Agendamento!$C$3='Base de Dados'!A890,"x",""),IF(AND(Agendamento!$C$3='Base de Dados'!A890,'Base de Dados'!E890=Agendamento!$C$7),"x",""))))</f>
        <v/>
      </c>
      <c r="I890" s="13" t="str">
        <f>IF(H890="x",COUNT($I$1:I889)+1,"")</f>
        <v/>
      </c>
    </row>
    <row r="891" spans="1:9" x14ac:dyDescent="0.25">
      <c r="A891" s="27"/>
      <c r="B891" s="28"/>
      <c r="C891" s="29"/>
      <c r="D891" s="29"/>
      <c r="E891" s="28"/>
      <c r="F891" s="13" t="str">
        <f>IF(A891="","",IF(A891=Agendamento!$C$3,"x",""))</f>
        <v/>
      </c>
      <c r="G891" s="13" t="str">
        <f>IF(A891="","",IF(E891=Agendamento!$C$7,"x",""))</f>
        <v/>
      </c>
      <c r="H891" s="13" t="str">
        <f>IF(A891="","",IF(AND(Agendamento!$C$3="",Agendamento!$C$7&lt;&gt;""),IF(Agendamento!$C$7='Base de Dados'!E891,"x",""),IF(AND(Agendamento!$C$3&lt;&gt;"",Agendamento!$C$7=""),IF(Agendamento!$C$3='Base de Dados'!A891,"x",""),IF(AND(Agendamento!$C$3='Base de Dados'!A891,'Base de Dados'!E891=Agendamento!$C$7),"x",""))))</f>
        <v/>
      </c>
      <c r="I891" s="13" t="str">
        <f>IF(H891="x",COUNT($I$1:I890)+1,"")</f>
        <v/>
      </c>
    </row>
    <row r="892" spans="1:9" x14ac:dyDescent="0.25">
      <c r="A892" s="27"/>
      <c r="B892" s="28"/>
      <c r="C892" s="29"/>
      <c r="D892" s="29"/>
      <c r="E892" s="28"/>
      <c r="F892" s="13" t="str">
        <f>IF(A892="","",IF(A892=Agendamento!$C$3,"x",""))</f>
        <v/>
      </c>
      <c r="G892" s="13" t="str">
        <f>IF(A892="","",IF(E892=Agendamento!$C$7,"x",""))</f>
        <v/>
      </c>
      <c r="H892" s="13" t="str">
        <f>IF(A892="","",IF(AND(Agendamento!$C$3="",Agendamento!$C$7&lt;&gt;""),IF(Agendamento!$C$7='Base de Dados'!E892,"x",""),IF(AND(Agendamento!$C$3&lt;&gt;"",Agendamento!$C$7=""),IF(Agendamento!$C$3='Base de Dados'!A892,"x",""),IF(AND(Agendamento!$C$3='Base de Dados'!A892,'Base de Dados'!E892=Agendamento!$C$7),"x",""))))</f>
        <v/>
      </c>
      <c r="I892" s="13" t="str">
        <f>IF(H892="x",COUNT($I$1:I891)+1,"")</f>
        <v/>
      </c>
    </row>
    <row r="893" spans="1:9" x14ac:dyDescent="0.25">
      <c r="A893" s="27"/>
      <c r="B893" s="28"/>
      <c r="C893" s="29"/>
      <c r="D893" s="29"/>
      <c r="E893" s="28"/>
      <c r="F893" s="13" t="str">
        <f>IF(A893="","",IF(A893=Agendamento!$C$3,"x",""))</f>
        <v/>
      </c>
      <c r="G893" s="13" t="str">
        <f>IF(A893="","",IF(E893=Agendamento!$C$7,"x",""))</f>
        <v/>
      </c>
      <c r="H893" s="13" t="str">
        <f>IF(A893="","",IF(AND(Agendamento!$C$3="",Agendamento!$C$7&lt;&gt;""),IF(Agendamento!$C$7='Base de Dados'!E893,"x",""),IF(AND(Agendamento!$C$3&lt;&gt;"",Agendamento!$C$7=""),IF(Agendamento!$C$3='Base de Dados'!A893,"x",""),IF(AND(Agendamento!$C$3='Base de Dados'!A893,'Base de Dados'!E893=Agendamento!$C$7),"x",""))))</f>
        <v/>
      </c>
      <c r="I893" s="13" t="str">
        <f>IF(H893="x",COUNT($I$1:I892)+1,"")</f>
        <v/>
      </c>
    </row>
    <row r="894" spans="1:9" x14ac:dyDescent="0.25">
      <c r="A894" s="27"/>
      <c r="B894" s="28"/>
      <c r="C894" s="29"/>
      <c r="D894" s="29"/>
      <c r="E894" s="28"/>
      <c r="F894" s="13" t="str">
        <f>IF(A894="","",IF(A894=Agendamento!$C$3,"x",""))</f>
        <v/>
      </c>
      <c r="G894" s="13" t="str">
        <f>IF(A894="","",IF(E894=Agendamento!$C$7,"x",""))</f>
        <v/>
      </c>
      <c r="H894" s="13" t="str">
        <f>IF(A894="","",IF(AND(Agendamento!$C$3="",Agendamento!$C$7&lt;&gt;""),IF(Agendamento!$C$7='Base de Dados'!E894,"x",""),IF(AND(Agendamento!$C$3&lt;&gt;"",Agendamento!$C$7=""),IF(Agendamento!$C$3='Base de Dados'!A894,"x",""),IF(AND(Agendamento!$C$3='Base de Dados'!A894,'Base de Dados'!E894=Agendamento!$C$7),"x",""))))</f>
        <v/>
      </c>
      <c r="I894" s="13" t="str">
        <f>IF(H894="x",COUNT($I$1:I893)+1,"")</f>
        <v/>
      </c>
    </row>
    <row r="895" spans="1:9" x14ac:dyDescent="0.25">
      <c r="A895" s="27"/>
      <c r="B895" s="28"/>
      <c r="C895" s="29"/>
      <c r="D895" s="29"/>
      <c r="E895" s="28"/>
      <c r="F895" s="13" t="str">
        <f>IF(A895="","",IF(A895=Agendamento!$C$3,"x",""))</f>
        <v/>
      </c>
      <c r="G895" s="13" t="str">
        <f>IF(A895="","",IF(E895=Agendamento!$C$7,"x",""))</f>
        <v/>
      </c>
      <c r="H895" s="13" t="str">
        <f>IF(A895="","",IF(AND(Agendamento!$C$3="",Agendamento!$C$7&lt;&gt;""),IF(Agendamento!$C$7='Base de Dados'!E895,"x",""),IF(AND(Agendamento!$C$3&lt;&gt;"",Agendamento!$C$7=""),IF(Agendamento!$C$3='Base de Dados'!A895,"x",""),IF(AND(Agendamento!$C$3='Base de Dados'!A895,'Base de Dados'!E895=Agendamento!$C$7),"x",""))))</f>
        <v/>
      </c>
      <c r="I895" s="13" t="str">
        <f>IF(H895="x",COUNT($I$1:I894)+1,"")</f>
        <v/>
      </c>
    </row>
    <row r="896" spans="1:9" x14ac:dyDescent="0.25">
      <c r="A896" s="27"/>
      <c r="B896" s="28"/>
      <c r="C896" s="29"/>
      <c r="D896" s="29"/>
      <c r="E896" s="28"/>
      <c r="F896" s="13" t="str">
        <f>IF(A896="","",IF(A896=Agendamento!$C$3,"x",""))</f>
        <v/>
      </c>
      <c r="G896" s="13" t="str">
        <f>IF(A896="","",IF(E896=Agendamento!$C$7,"x",""))</f>
        <v/>
      </c>
      <c r="H896" s="13" t="str">
        <f>IF(A896="","",IF(AND(Agendamento!$C$3="",Agendamento!$C$7&lt;&gt;""),IF(Agendamento!$C$7='Base de Dados'!E896,"x",""),IF(AND(Agendamento!$C$3&lt;&gt;"",Agendamento!$C$7=""),IF(Agendamento!$C$3='Base de Dados'!A896,"x",""),IF(AND(Agendamento!$C$3='Base de Dados'!A896,'Base de Dados'!E896=Agendamento!$C$7),"x",""))))</f>
        <v/>
      </c>
      <c r="I896" s="13" t="str">
        <f>IF(H896="x",COUNT($I$1:I895)+1,"")</f>
        <v/>
      </c>
    </row>
    <row r="897" spans="1:9" x14ac:dyDescent="0.25">
      <c r="A897" s="27"/>
      <c r="B897" s="28"/>
      <c r="C897" s="29"/>
      <c r="D897" s="29"/>
      <c r="E897" s="28"/>
      <c r="F897" s="13" t="str">
        <f>IF(A897="","",IF(A897=Agendamento!$C$3,"x",""))</f>
        <v/>
      </c>
      <c r="G897" s="13" t="str">
        <f>IF(A897="","",IF(E897=Agendamento!$C$7,"x",""))</f>
        <v/>
      </c>
      <c r="H897" s="13" t="str">
        <f>IF(A897="","",IF(AND(Agendamento!$C$3="",Agendamento!$C$7&lt;&gt;""),IF(Agendamento!$C$7='Base de Dados'!E897,"x",""),IF(AND(Agendamento!$C$3&lt;&gt;"",Agendamento!$C$7=""),IF(Agendamento!$C$3='Base de Dados'!A897,"x",""),IF(AND(Agendamento!$C$3='Base de Dados'!A897,'Base de Dados'!E897=Agendamento!$C$7),"x",""))))</f>
        <v/>
      </c>
      <c r="I897" s="13" t="str">
        <f>IF(H897="x",COUNT($I$1:I896)+1,"")</f>
        <v/>
      </c>
    </row>
    <row r="898" spans="1:9" x14ac:dyDescent="0.25">
      <c r="A898" s="27"/>
      <c r="B898" s="28"/>
      <c r="C898" s="29"/>
      <c r="D898" s="29"/>
      <c r="E898" s="28"/>
      <c r="F898" s="13" t="str">
        <f>IF(A898="","",IF(A898=Agendamento!$C$3,"x",""))</f>
        <v/>
      </c>
      <c r="G898" s="13" t="str">
        <f>IF(A898="","",IF(E898=Agendamento!$C$7,"x",""))</f>
        <v/>
      </c>
      <c r="H898" s="13" t="str">
        <f>IF(A898="","",IF(AND(Agendamento!$C$3="",Agendamento!$C$7&lt;&gt;""),IF(Agendamento!$C$7='Base de Dados'!E898,"x",""),IF(AND(Agendamento!$C$3&lt;&gt;"",Agendamento!$C$7=""),IF(Agendamento!$C$3='Base de Dados'!A898,"x",""),IF(AND(Agendamento!$C$3='Base de Dados'!A898,'Base de Dados'!E898=Agendamento!$C$7),"x",""))))</f>
        <v/>
      </c>
      <c r="I898" s="13" t="str">
        <f>IF(H898="x",COUNT($I$1:I897)+1,"")</f>
        <v/>
      </c>
    </row>
    <row r="899" spans="1:9" x14ac:dyDescent="0.25">
      <c r="A899" s="27"/>
      <c r="B899" s="28"/>
      <c r="C899" s="29"/>
      <c r="D899" s="29"/>
      <c r="E899" s="28"/>
      <c r="F899" s="13" t="str">
        <f>IF(A899="","",IF(A899=Agendamento!$C$3,"x",""))</f>
        <v/>
      </c>
      <c r="G899" s="13" t="str">
        <f>IF(A899="","",IF(E899=Agendamento!$C$7,"x",""))</f>
        <v/>
      </c>
      <c r="H899" s="13" t="str">
        <f>IF(A899="","",IF(AND(Agendamento!$C$3="",Agendamento!$C$7&lt;&gt;""),IF(Agendamento!$C$7='Base de Dados'!E899,"x",""),IF(AND(Agendamento!$C$3&lt;&gt;"",Agendamento!$C$7=""),IF(Agendamento!$C$3='Base de Dados'!A899,"x",""),IF(AND(Agendamento!$C$3='Base de Dados'!A899,'Base de Dados'!E899=Agendamento!$C$7),"x",""))))</f>
        <v/>
      </c>
      <c r="I899" s="13" t="str">
        <f>IF(H899="x",COUNT($I$1:I898)+1,"")</f>
        <v/>
      </c>
    </row>
    <row r="900" spans="1:9" x14ac:dyDescent="0.25">
      <c r="A900" s="27"/>
      <c r="B900" s="28"/>
      <c r="C900" s="29"/>
      <c r="D900" s="29"/>
      <c r="E900" s="28"/>
      <c r="F900" s="13" t="str">
        <f>IF(A900="","",IF(A900=Agendamento!$C$3,"x",""))</f>
        <v/>
      </c>
      <c r="G900" s="13" t="str">
        <f>IF(A900="","",IF(E900=Agendamento!$C$7,"x",""))</f>
        <v/>
      </c>
      <c r="H900" s="13" t="str">
        <f>IF(A900="","",IF(AND(Agendamento!$C$3="",Agendamento!$C$7&lt;&gt;""),IF(Agendamento!$C$7='Base de Dados'!E900,"x",""),IF(AND(Agendamento!$C$3&lt;&gt;"",Agendamento!$C$7=""),IF(Agendamento!$C$3='Base de Dados'!A900,"x",""),IF(AND(Agendamento!$C$3='Base de Dados'!A900,'Base de Dados'!E900=Agendamento!$C$7),"x",""))))</f>
        <v/>
      </c>
      <c r="I900" s="13" t="str">
        <f>IF(H900="x",COUNT($I$1:I899)+1,"")</f>
        <v/>
      </c>
    </row>
    <row r="901" spans="1:9" x14ac:dyDescent="0.25">
      <c r="A901" s="27"/>
      <c r="B901" s="28"/>
      <c r="C901" s="29"/>
      <c r="D901" s="29"/>
      <c r="E901" s="28"/>
      <c r="F901" s="13" t="str">
        <f>IF(A901="","",IF(A901=Agendamento!$C$3,"x",""))</f>
        <v/>
      </c>
      <c r="G901" s="13" t="str">
        <f>IF(A901="","",IF(E901=Agendamento!$C$7,"x",""))</f>
        <v/>
      </c>
      <c r="H901" s="13" t="str">
        <f>IF(A901="","",IF(AND(Agendamento!$C$3="",Agendamento!$C$7&lt;&gt;""),IF(Agendamento!$C$7='Base de Dados'!E901,"x",""),IF(AND(Agendamento!$C$3&lt;&gt;"",Agendamento!$C$7=""),IF(Agendamento!$C$3='Base de Dados'!A901,"x",""),IF(AND(Agendamento!$C$3='Base de Dados'!A901,'Base de Dados'!E901=Agendamento!$C$7),"x",""))))</f>
        <v/>
      </c>
      <c r="I901" s="13" t="str">
        <f>IF(H901="x",COUNT($I$1:I900)+1,"")</f>
        <v/>
      </c>
    </row>
    <row r="902" spans="1:9" x14ac:dyDescent="0.25">
      <c r="A902" s="27"/>
      <c r="B902" s="28"/>
      <c r="C902" s="29"/>
      <c r="D902" s="29"/>
      <c r="E902" s="28"/>
      <c r="F902" s="13" t="str">
        <f>IF(A902="","",IF(A902=Agendamento!$C$3,"x",""))</f>
        <v/>
      </c>
      <c r="G902" s="13" t="str">
        <f>IF(A902="","",IF(E902=Agendamento!$C$7,"x",""))</f>
        <v/>
      </c>
      <c r="H902" s="13" t="str">
        <f>IF(A902="","",IF(AND(Agendamento!$C$3="",Agendamento!$C$7&lt;&gt;""),IF(Agendamento!$C$7='Base de Dados'!E902,"x",""),IF(AND(Agendamento!$C$3&lt;&gt;"",Agendamento!$C$7=""),IF(Agendamento!$C$3='Base de Dados'!A902,"x",""),IF(AND(Agendamento!$C$3='Base de Dados'!A902,'Base de Dados'!E902=Agendamento!$C$7),"x",""))))</f>
        <v/>
      </c>
      <c r="I902" s="13" t="str">
        <f>IF(H902="x",COUNT($I$1:I901)+1,"")</f>
        <v/>
      </c>
    </row>
    <row r="903" spans="1:9" x14ac:dyDescent="0.25">
      <c r="A903" s="27"/>
      <c r="B903" s="28"/>
      <c r="C903" s="29"/>
      <c r="D903" s="29"/>
      <c r="E903" s="28"/>
      <c r="F903" s="13" t="str">
        <f>IF(A903="","",IF(A903=Agendamento!$C$3,"x",""))</f>
        <v/>
      </c>
      <c r="G903" s="13" t="str">
        <f>IF(A903="","",IF(E903=Agendamento!$C$7,"x",""))</f>
        <v/>
      </c>
      <c r="H903" s="13" t="str">
        <f>IF(A903="","",IF(AND(Agendamento!$C$3="",Agendamento!$C$7&lt;&gt;""),IF(Agendamento!$C$7='Base de Dados'!E903,"x",""),IF(AND(Agendamento!$C$3&lt;&gt;"",Agendamento!$C$7=""),IF(Agendamento!$C$3='Base de Dados'!A903,"x",""),IF(AND(Agendamento!$C$3='Base de Dados'!A903,'Base de Dados'!E903=Agendamento!$C$7),"x",""))))</f>
        <v/>
      </c>
      <c r="I903" s="13" t="str">
        <f>IF(H903="x",COUNT($I$1:I902)+1,"")</f>
        <v/>
      </c>
    </row>
    <row r="904" spans="1:9" x14ac:dyDescent="0.25">
      <c r="A904" s="27"/>
      <c r="B904" s="28"/>
      <c r="C904" s="29"/>
      <c r="D904" s="29"/>
      <c r="E904" s="28"/>
      <c r="F904" s="13" t="str">
        <f>IF(A904="","",IF(A904=Agendamento!$C$3,"x",""))</f>
        <v/>
      </c>
      <c r="G904" s="13" t="str">
        <f>IF(A904="","",IF(E904=Agendamento!$C$7,"x",""))</f>
        <v/>
      </c>
      <c r="H904" s="13" t="str">
        <f>IF(A904="","",IF(AND(Agendamento!$C$3="",Agendamento!$C$7&lt;&gt;""),IF(Agendamento!$C$7='Base de Dados'!E904,"x",""),IF(AND(Agendamento!$C$3&lt;&gt;"",Agendamento!$C$7=""),IF(Agendamento!$C$3='Base de Dados'!A904,"x",""),IF(AND(Agendamento!$C$3='Base de Dados'!A904,'Base de Dados'!E904=Agendamento!$C$7),"x",""))))</f>
        <v/>
      </c>
      <c r="I904" s="13" t="str">
        <f>IF(H904="x",COUNT($I$1:I903)+1,"")</f>
        <v/>
      </c>
    </row>
    <row r="905" spans="1:9" x14ac:dyDescent="0.25">
      <c r="A905" s="27"/>
      <c r="B905" s="28"/>
      <c r="C905" s="29"/>
      <c r="D905" s="29"/>
      <c r="E905" s="28"/>
      <c r="F905" s="13" t="str">
        <f>IF(A905="","",IF(A905=Agendamento!$C$3,"x",""))</f>
        <v/>
      </c>
      <c r="G905" s="13" t="str">
        <f>IF(A905="","",IF(E905=Agendamento!$C$7,"x",""))</f>
        <v/>
      </c>
      <c r="H905" s="13" t="str">
        <f>IF(A905="","",IF(AND(Agendamento!$C$3="",Agendamento!$C$7&lt;&gt;""),IF(Agendamento!$C$7='Base de Dados'!E905,"x",""),IF(AND(Agendamento!$C$3&lt;&gt;"",Agendamento!$C$7=""),IF(Agendamento!$C$3='Base de Dados'!A905,"x",""),IF(AND(Agendamento!$C$3='Base de Dados'!A905,'Base de Dados'!E905=Agendamento!$C$7),"x",""))))</f>
        <v/>
      </c>
      <c r="I905" s="13" t="str">
        <f>IF(H905="x",COUNT($I$1:I904)+1,"")</f>
        <v/>
      </c>
    </row>
    <row r="906" spans="1:9" x14ac:dyDescent="0.25">
      <c r="A906" s="27"/>
      <c r="B906" s="28"/>
      <c r="C906" s="29"/>
      <c r="D906" s="29"/>
      <c r="E906" s="28"/>
      <c r="F906" s="13" t="str">
        <f>IF(A906="","",IF(A906=Agendamento!$C$3,"x",""))</f>
        <v/>
      </c>
      <c r="G906" s="13" t="str">
        <f>IF(A906="","",IF(E906=Agendamento!$C$7,"x",""))</f>
        <v/>
      </c>
      <c r="H906" s="13" t="str">
        <f>IF(A906="","",IF(AND(Agendamento!$C$3="",Agendamento!$C$7&lt;&gt;""),IF(Agendamento!$C$7='Base de Dados'!E906,"x",""),IF(AND(Agendamento!$C$3&lt;&gt;"",Agendamento!$C$7=""),IF(Agendamento!$C$3='Base de Dados'!A906,"x",""),IF(AND(Agendamento!$C$3='Base de Dados'!A906,'Base de Dados'!E906=Agendamento!$C$7),"x",""))))</f>
        <v/>
      </c>
      <c r="I906" s="13" t="str">
        <f>IF(H906="x",COUNT($I$1:I905)+1,"")</f>
        <v/>
      </c>
    </row>
    <row r="907" spans="1:9" x14ac:dyDescent="0.25">
      <c r="A907" s="27"/>
      <c r="B907" s="28"/>
      <c r="C907" s="29"/>
      <c r="D907" s="29"/>
      <c r="E907" s="28"/>
      <c r="F907" s="13" t="str">
        <f>IF(A907="","",IF(A907=Agendamento!$C$3,"x",""))</f>
        <v/>
      </c>
      <c r="G907" s="13" t="str">
        <f>IF(A907="","",IF(E907=Agendamento!$C$7,"x",""))</f>
        <v/>
      </c>
      <c r="H907" s="13" t="str">
        <f>IF(A907="","",IF(AND(Agendamento!$C$3="",Agendamento!$C$7&lt;&gt;""),IF(Agendamento!$C$7='Base de Dados'!E907,"x",""),IF(AND(Agendamento!$C$3&lt;&gt;"",Agendamento!$C$7=""),IF(Agendamento!$C$3='Base de Dados'!A907,"x",""),IF(AND(Agendamento!$C$3='Base de Dados'!A907,'Base de Dados'!E907=Agendamento!$C$7),"x",""))))</f>
        <v/>
      </c>
      <c r="I907" s="13" t="str">
        <f>IF(H907="x",COUNT($I$1:I906)+1,"")</f>
        <v/>
      </c>
    </row>
    <row r="908" spans="1:9" x14ac:dyDescent="0.25">
      <c r="A908" s="27"/>
      <c r="B908" s="28"/>
      <c r="C908" s="29"/>
      <c r="D908" s="29"/>
      <c r="E908" s="28"/>
      <c r="F908" s="13" t="str">
        <f>IF(A908="","",IF(A908=Agendamento!$C$3,"x",""))</f>
        <v/>
      </c>
      <c r="G908" s="13" t="str">
        <f>IF(A908="","",IF(E908=Agendamento!$C$7,"x",""))</f>
        <v/>
      </c>
      <c r="H908" s="13" t="str">
        <f>IF(A908="","",IF(AND(Agendamento!$C$3="",Agendamento!$C$7&lt;&gt;""),IF(Agendamento!$C$7='Base de Dados'!E908,"x",""),IF(AND(Agendamento!$C$3&lt;&gt;"",Agendamento!$C$7=""),IF(Agendamento!$C$3='Base de Dados'!A908,"x",""),IF(AND(Agendamento!$C$3='Base de Dados'!A908,'Base de Dados'!E908=Agendamento!$C$7),"x",""))))</f>
        <v/>
      </c>
      <c r="I908" s="13" t="str">
        <f>IF(H908="x",COUNT($I$1:I907)+1,"")</f>
        <v/>
      </c>
    </row>
    <row r="909" spans="1:9" x14ac:dyDescent="0.25">
      <c r="A909" s="27"/>
      <c r="B909" s="28"/>
      <c r="C909" s="29"/>
      <c r="D909" s="29"/>
      <c r="E909" s="28"/>
      <c r="F909" s="13" t="str">
        <f>IF(A909="","",IF(A909=Agendamento!$C$3,"x",""))</f>
        <v/>
      </c>
      <c r="G909" s="13" t="str">
        <f>IF(A909="","",IF(E909=Agendamento!$C$7,"x",""))</f>
        <v/>
      </c>
      <c r="H909" s="13" t="str">
        <f>IF(A909="","",IF(AND(Agendamento!$C$3="",Agendamento!$C$7&lt;&gt;""),IF(Agendamento!$C$7='Base de Dados'!E909,"x",""),IF(AND(Agendamento!$C$3&lt;&gt;"",Agendamento!$C$7=""),IF(Agendamento!$C$3='Base de Dados'!A909,"x",""),IF(AND(Agendamento!$C$3='Base de Dados'!A909,'Base de Dados'!E909=Agendamento!$C$7),"x",""))))</f>
        <v/>
      </c>
      <c r="I909" s="13" t="str">
        <f>IF(H909="x",COUNT($I$1:I908)+1,"")</f>
        <v/>
      </c>
    </row>
    <row r="910" spans="1:9" x14ac:dyDescent="0.25">
      <c r="A910" s="27"/>
      <c r="B910" s="28"/>
      <c r="C910" s="29"/>
      <c r="D910" s="29"/>
      <c r="E910" s="28"/>
      <c r="F910" s="13" t="str">
        <f>IF(A910="","",IF(A910=Agendamento!$C$3,"x",""))</f>
        <v/>
      </c>
      <c r="G910" s="13" t="str">
        <f>IF(A910="","",IF(E910=Agendamento!$C$7,"x",""))</f>
        <v/>
      </c>
      <c r="H910" s="13" t="str">
        <f>IF(A910="","",IF(AND(Agendamento!$C$3="",Agendamento!$C$7&lt;&gt;""),IF(Agendamento!$C$7='Base de Dados'!E910,"x",""),IF(AND(Agendamento!$C$3&lt;&gt;"",Agendamento!$C$7=""),IF(Agendamento!$C$3='Base de Dados'!A910,"x",""),IF(AND(Agendamento!$C$3='Base de Dados'!A910,'Base de Dados'!E910=Agendamento!$C$7),"x",""))))</f>
        <v/>
      </c>
      <c r="I910" s="13" t="str">
        <f>IF(H910="x",COUNT($I$1:I909)+1,"")</f>
        <v/>
      </c>
    </row>
    <row r="911" spans="1:9" x14ac:dyDescent="0.25">
      <c r="A911" s="27"/>
      <c r="B911" s="28"/>
      <c r="C911" s="29"/>
      <c r="D911" s="29"/>
      <c r="E911" s="28"/>
      <c r="F911" s="13" t="str">
        <f>IF(A911="","",IF(A911=Agendamento!$C$3,"x",""))</f>
        <v/>
      </c>
      <c r="G911" s="13" t="str">
        <f>IF(A911="","",IF(E911=Agendamento!$C$7,"x",""))</f>
        <v/>
      </c>
      <c r="H911" s="13" t="str">
        <f>IF(A911="","",IF(AND(Agendamento!$C$3="",Agendamento!$C$7&lt;&gt;""),IF(Agendamento!$C$7='Base de Dados'!E911,"x",""),IF(AND(Agendamento!$C$3&lt;&gt;"",Agendamento!$C$7=""),IF(Agendamento!$C$3='Base de Dados'!A911,"x",""),IF(AND(Agendamento!$C$3='Base de Dados'!A911,'Base de Dados'!E911=Agendamento!$C$7),"x",""))))</f>
        <v/>
      </c>
      <c r="I911" s="13" t="str">
        <f>IF(H911="x",COUNT($I$1:I910)+1,"")</f>
        <v/>
      </c>
    </row>
    <row r="912" spans="1:9" x14ac:dyDescent="0.25">
      <c r="A912" s="27"/>
      <c r="B912" s="28"/>
      <c r="C912" s="29"/>
      <c r="D912" s="29"/>
      <c r="E912" s="28"/>
      <c r="F912" s="13" t="str">
        <f>IF(A912="","",IF(A912=Agendamento!$C$3,"x",""))</f>
        <v/>
      </c>
      <c r="G912" s="13" t="str">
        <f>IF(A912="","",IF(E912=Agendamento!$C$7,"x",""))</f>
        <v/>
      </c>
      <c r="H912" s="13" t="str">
        <f>IF(A912="","",IF(AND(Agendamento!$C$3="",Agendamento!$C$7&lt;&gt;""),IF(Agendamento!$C$7='Base de Dados'!E912,"x",""),IF(AND(Agendamento!$C$3&lt;&gt;"",Agendamento!$C$7=""),IF(Agendamento!$C$3='Base de Dados'!A912,"x",""),IF(AND(Agendamento!$C$3='Base de Dados'!A912,'Base de Dados'!E912=Agendamento!$C$7),"x",""))))</f>
        <v/>
      </c>
      <c r="I912" s="13" t="str">
        <f>IF(H912="x",COUNT($I$1:I911)+1,"")</f>
        <v/>
      </c>
    </row>
    <row r="913" spans="1:9" x14ac:dyDescent="0.25">
      <c r="A913" s="27"/>
      <c r="B913" s="28"/>
      <c r="C913" s="29"/>
      <c r="D913" s="29"/>
      <c r="E913" s="28"/>
      <c r="F913" s="13" t="str">
        <f>IF(A913="","",IF(A913=Agendamento!$C$3,"x",""))</f>
        <v/>
      </c>
      <c r="G913" s="13" t="str">
        <f>IF(A913="","",IF(E913=Agendamento!$C$7,"x",""))</f>
        <v/>
      </c>
      <c r="H913" s="13" t="str">
        <f>IF(A913="","",IF(AND(Agendamento!$C$3="",Agendamento!$C$7&lt;&gt;""),IF(Agendamento!$C$7='Base de Dados'!E913,"x",""),IF(AND(Agendamento!$C$3&lt;&gt;"",Agendamento!$C$7=""),IF(Agendamento!$C$3='Base de Dados'!A913,"x",""),IF(AND(Agendamento!$C$3='Base de Dados'!A913,'Base de Dados'!E913=Agendamento!$C$7),"x",""))))</f>
        <v/>
      </c>
      <c r="I913" s="13" t="str">
        <f>IF(H913="x",COUNT($I$1:I912)+1,"")</f>
        <v/>
      </c>
    </row>
    <row r="914" spans="1:9" x14ac:dyDescent="0.25">
      <c r="A914" s="27"/>
      <c r="B914" s="28"/>
      <c r="C914" s="29"/>
      <c r="D914" s="29"/>
      <c r="E914" s="28"/>
      <c r="F914" s="13" t="str">
        <f>IF(A914="","",IF(A914=Agendamento!$C$3,"x",""))</f>
        <v/>
      </c>
      <c r="G914" s="13" t="str">
        <f>IF(A914="","",IF(E914=Agendamento!$C$7,"x",""))</f>
        <v/>
      </c>
      <c r="H914" s="13" t="str">
        <f>IF(A914="","",IF(AND(Agendamento!$C$3="",Agendamento!$C$7&lt;&gt;""),IF(Agendamento!$C$7='Base de Dados'!E914,"x",""),IF(AND(Agendamento!$C$3&lt;&gt;"",Agendamento!$C$7=""),IF(Agendamento!$C$3='Base de Dados'!A914,"x",""),IF(AND(Agendamento!$C$3='Base de Dados'!A914,'Base de Dados'!E914=Agendamento!$C$7),"x",""))))</f>
        <v/>
      </c>
      <c r="I914" s="13" t="str">
        <f>IF(H914="x",COUNT($I$1:I913)+1,"")</f>
        <v/>
      </c>
    </row>
    <row r="915" spans="1:9" x14ac:dyDescent="0.25">
      <c r="A915" s="27"/>
      <c r="B915" s="28"/>
      <c r="C915" s="29"/>
      <c r="D915" s="29"/>
      <c r="E915" s="28"/>
      <c r="F915" s="13" t="str">
        <f>IF(A915="","",IF(A915=Agendamento!$C$3,"x",""))</f>
        <v/>
      </c>
      <c r="G915" s="13" t="str">
        <f>IF(A915="","",IF(E915=Agendamento!$C$7,"x",""))</f>
        <v/>
      </c>
      <c r="H915" s="13" t="str">
        <f>IF(A915="","",IF(AND(Agendamento!$C$3="",Agendamento!$C$7&lt;&gt;""),IF(Agendamento!$C$7='Base de Dados'!E915,"x",""),IF(AND(Agendamento!$C$3&lt;&gt;"",Agendamento!$C$7=""),IF(Agendamento!$C$3='Base de Dados'!A915,"x",""),IF(AND(Agendamento!$C$3='Base de Dados'!A915,'Base de Dados'!E915=Agendamento!$C$7),"x",""))))</f>
        <v/>
      </c>
      <c r="I915" s="13" t="str">
        <f>IF(H915="x",COUNT($I$1:I914)+1,"")</f>
        <v/>
      </c>
    </row>
    <row r="916" spans="1:9" x14ac:dyDescent="0.25">
      <c r="A916" s="27"/>
      <c r="B916" s="28"/>
      <c r="C916" s="29"/>
      <c r="D916" s="29"/>
      <c r="E916" s="28"/>
      <c r="F916" s="13" t="str">
        <f>IF(A916="","",IF(A916=Agendamento!$C$3,"x",""))</f>
        <v/>
      </c>
      <c r="G916" s="13" t="str">
        <f>IF(A916="","",IF(E916=Agendamento!$C$7,"x",""))</f>
        <v/>
      </c>
      <c r="H916" s="13" t="str">
        <f>IF(A916="","",IF(AND(Agendamento!$C$3="",Agendamento!$C$7&lt;&gt;""),IF(Agendamento!$C$7='Base de Dados'!E916,"x",""),IF(AND(Agendamento!$C$3&lt;&gt;"",Agendamento!$C$7=""),IF(Agendamento!$C$3='Base de Dados'!A916,"x",""),IF(AND(Agendamento!$C$3='Base de Dados'!A916,'Base de Dados'!E916=Agendamento!$C$7),"x",""))))</f>
        <v/>
      </c>
      <c r="I916" s="13" t="str">
        <f>IF(H916="x",COUNT($I$1:I915)+1,"")</f>
        <v/>
      </c>
    </row>
    <row r="917" spans="1:9" x14ac:dyDescent="0.25">
      <c r="A917" s="27"/>
      <c r="B917" s="28"/>
      <c r="C917" s="29"/>
      <c r="D917" s="29"/>
      <c r="E917" s="28"/>
      <c r="F917" s="13" t="str">
        <f>IF(A917="","",IF(A917=Agendamento!$C$3,"x",""))</f>
        <v/>
      </c>
      <c r="G917" s="13" t="str">
        <f>IF(A917="","",IF(E917=Agendamento!$C$7,"x",""))</f>
        <v/>
      </c>
      <c r="H917" s="13" t="str">
        <f>IF(A917="","",IF(AND(Agendamento!$C$3="",Agendamento!$C$7&lt;&gt;""),IF(Agendamento!$C$7='Base de Dados'!E917,"x",""),IF(AND(Agendamento!$C$3&lt;&gt;"",Agendamento!$C$7=""),IF(Agendamento!$C$3='Base de Dados'!A917,"x",""),IF(AND(Agendamento!$C$3='Base de Dados'!A917,'Base de Dados'!E917=Agendamento!$C$7),"x",""))))</f>
        <v/>
      </c>
      <c r="I917" s="13" t="str">
        <f>IF(H917="x",COUNT($I$1:I916)+1,"")</f>
        <v/>
      </c>
    </row>
    <row r="918" spans="1:9" x14ac:dyDescent="0.25">
      <c r="A918" s="27"/>
      <c r="B918" s="28"/>
      <c r="C918" s="29"/>
      <c r="D918" s="29"/>
      <c r="E918" s="28"/>
      <c r="F918" s="13" t="str">
        <f>IF(A918="","",IF(A918=Agendamento!$C$3,"x",""))</f>
        <v/>
      </c>
      <c r="G918" s="13" t="str">
        <f>IF(A918="","",IF(E918=Agendamento!$C$7,"x",""))</f>
        <v/>
      </c>
      <c r="H918" s="13" t="str">
        <f>IF(A918="","",IF(AND(Agendamento!$C$3="",Agendamento!$C$7&lt;&gt;""),IF(Agendamento!$C$7='Base de Dados'!E918,"x",""),IF(AND(Agendamento!$C$3&lt;&gt;"",Agendamento!$C$7=""),IF(Agendamento!$C$3='Base de Dados'!A918,"x",""),IF(AND(Agendamento!$C$3='Base de Dados'!A918,'Base de Dados'!E918=Agendamento!$C$7),"x",""))))</f>
        <v/>
      </c>
      <c r="I918" s="13" t="str">
        <f>IF(H918="x",COUNT($I$1:I917)+1,"")</f>
        <v/>
      </c>
    </row>
    <row r="919" spans="1:9" x14ac:dyDescent="0.25">
      <c r="A919" s="27"/>
      <c r="B919" s="28"/>
      <c r="C919" s="29"/>
      <c r="D919" s="29"/>
      <c r="E919" s="28"/>
      <c r="F919" s="13" t="str">
        <f>IF(A919="","",IF(A919=Agendamento!$C$3,"x",""))</f>
        <v/>
      </c>
      <c r="G919" s="13" t="str">
        <f>IF(A919="","",IF(E919=Agendamento!$C$7,"x",""))</f>
        <v/>
      </c>
      <c r="H919" s="13" t="str">
        <f>IF(A919="","",IF(AND(Agendamento!$C$3="",Agendamento!$C$7&lt;&gt;""),IF(Agendamento!$C$7='Base de Dados'!E919,"x",""),IF(AND(Agendamento!$C$3&lt;&gt;"",Agendamento!$C$7=""),IF(Agendamento!$C$3='Base de Dados'!A919,"x",""),IF(AND(Agendamento!$C$3='Base de Dados'!A919,'Base de Dados'!E919=Agendamento!$C$7),"x",""))))</f>
        <v/>
      </c>
      <c r="I919" s="13" t="str">
        <f>IF(H919="x",COUNT($I$1:I918)+1,"")</f>
        <v/>
      </c>
    </row>
    <row r="920" spans="1:9" x14ac:dyDescent="0.25">
      <c r="A920" s="27"/>
      <c r="B920" s="28"/>
      <c r="C920" s="29"/>
      <c r="D920" s="29"/>
      <c r="E920" s="28"/>
      <c r="F920" s="13" t="str">
        <f>IF(A920="","",IF(A920=Agendamento!$C$3,"x",""))</f>
        <v/>
      </c>
      <c r="G920" s="13" t="str">
        <f>IF(A920="","",IF(E920=Agendamento!$C$7,"x",""))</f>
        <v/>
      </c>
      <c r="H920" s="13" t="str">
        <f>IF(A920="","",IF(AND(Agendamento!$C$3="",Agendamento!$C$7&lt;&gt;""),IF(Agendamento!$C$7='Base de Dados'!E920,"x",""),IF(AND(Agendamento!$C$3&lt;&gt;"",Agendamento!$C$7=""),IF(Agendamento!$C$3='Base de Dados'!A920,"x",""),IF(AND(Agendamento!$C$3='Base de Dados'!A920,'Base de Dados'!E920=Agendamento!$C$7),"x",""))))</f>
        <v/>
      </c>
      <c r="I920" s="13" t="str">
        <f>IF(H920="x",COUNT($I$1:I919)+1,"")</f>
        <v/>
      </c>
    </row>
    <row r="921" spans="1:9" x14ac:dyDescent="0.25">
      <c r="A921" s="27"/>
      <c r="B921" s="28"/>
      <c r="C921" s="29"/>
      <c r="D921" s="29"/>
      <c r="E921" s="28"/>
      <c r="F921" s="13" t="str">
        <f>IF(A921="","",IF(A921=Agendamento!$C$3,"x",""))</f>
        <v/>
      </c>
      <c r="G921" s="13" t="str">
        <f>IF(A921="","",IF(E921=Agendamento!$C$7,"x",""))</f>
        <v/>
      </c>
      <c r="H921" s="13" t="str">
        <f>IF(A921="","",IF(AND(Agendamento!$C$3="",Agendamento!$C$7&lt;&gt;""),IF(Agendamento!$C$7='Base de Dados'!E921,"x",""),IF(AND(Agendamento!$C$3&lt;&gt;"",Agendamento!$C$7=""),IF(Agendamento!$C$3='Base de Dados'!A921,"x",""),IF(AND(Agendamento!$C$3='Base de Dados'!A921,'Base de Dados'!E921=Agendamento!$C$7),"x",""))))</f>
        <v/>
      </c>
      <c r="I921" s="13" t="str">
        <f>IF(H921="x",COUNT($I$1:I920)+1,"")</f>
        <v/>
      </c>
    </row>
    <row r="922" spans="1:9" x14ac:dyDescent="0.25">
      <c r="A922" s="27"/>
      <c r="B922" s="28"/>
      <c r="C922" s="29"/>
      <c r="D922" s="29"/>
      <c r="E922" s="28"/>
      <c r="F922" s="13" t="str">
        <f>IF(A922="","",IF(A922=Agendamento!$C$3,"x",""))</f>
        <v/>
      </c>
      <c r="G922" s="13" t="str">
        <f>IF(A922="","",IF(E922=Agendamento!$C$7,"x",""))</f>
        <v/>
      </c>
      <c r="H922" s="13" t="str">
        <f>IF(A922="","",IF(AND(Agendamento!$C$3="",Agendamento!$C$7&lt;&gt;""),IF(Agendamento!$C$7='Base de Dados'!E922,"x",""),IF(AND(Agendamento!$C$3&lt;&gt;"",Agendamento!$C$7=""),IF(Agendamento!$C$3='Base de Dados'!A922,"x",""),IF(AND(Agendamento!$C$3='Base de Dados'!A922,'Base de Dados'!E922=Agendamento!$C$7),"x",""))))</f>
        <v/>
      </c>
      <c r="I922" s="13" t="str">
        <f>IF(H922="x",COUNT($I$1:I921)+1,"")</f>
        <v/>
      </c>
    </row>
    <row r="923" spans="1:9" x14ac:dyDescent="0.25">
      <c r="A923" s="27"/>
      <c r="B923" s="28"/>
      <c r="C923" s="29"/>
      <c r="D923" s="29"/>
      <c r="E923" s="28"/>
      <c r="F923" s="13" t="str">
        <f>IF(A923="","",IF(A923=Agendamento!$C$3,"x",""))</f>
        <v/>
      </c>
      <c r="G923" s="13" t="str">
        <f>IF(A923="","",IF(E923=Agendamento!$C$7,"x",""))</f>
        <v/>
      </c>
      <c r="H923" s="13" t="str">
        <f>IF(A923="","",IF(AND(Agendamento!$C$3="",Agendamento!$C$7&lt;&gt;""),IF(Agendamento!$C$7='Base de Dados'!E923,"x",""),IF(AND(Agendamento!$C$3&lt;&gt;"",Agendamento!$C$7=""),IF(Agendamento!$C$3='Base de Dados'!A923,"x",""),IF(AND(Agendamento!$C$3='Base de Dados'!A923,'Base de Dados'!E923=Agendamento!$C$7),"x",""))))</f>
        <v/>
      </c>
      <c r="I923" s="13" t="str">
        <f>IF(H923="x",COUNT($I$1:I922)+1,"")</f>
        <v/>
      </c>
    </row>
    <row r="924" spans="1:9" x14ac:dyDescent="0.25">
      <c r="A924" s="27"/>
      <c r="B924" s="28"/>
      <c r="C924" s="29"/>
      <c r="D924" s="29"/>
      <c r="E924" s="28"/>
      <c r="F924" s="13" t="str">
        <f>IF(A924="","",IF(A924=Agendamento!$C$3,"x",""))</f>
        <v/>
      </c>
      <c r="G924" s="13" t="str">
        <f>IF(A924="","",IF(E924=Agendamento!$C$7,"x",""))</f>
        <v/>
      </c>
      <c r="H924" s="13" t="str">
        <f>IF(A924="","",IF(AND(Agendamento!$C$3="",Agendamento!$C$7&lt;&gt;""),IF(Agendamento!$C$7='Base de Dados'!E924,"x",""),IF(AND(Agendamento!$C$3&lt;&gt;"",Agendamento!$C$7=""),IF(Agendamento!$C$3='Base de Dados'!A924,"x",""),IF(AND(Agendamento!$C$3='Base de Dados'!A924,'Base de Dados'!E924=Agendamento!$C$7),"x",""))))</f>
        <v/>
      </c>
      <c r="I924" s="13" t="str">
        <f>IF(H924="x",COUNT($I$1:I923)+1,"")</f>
        <v/>
      </c>
    </row>
    <row r="925" spans="1:9" x14ac:dyDescent="0.25">
      <c r="A925" s="27"/>
      <c r="B925" s="28"/>
      <c r="C925" s="29"/>
      <c r="D925" s="29"/>
      <c r="E925" s="28"/>
      <c r="F925" s="13" t="str">
        <f>IF(A925="","",IF(A925=Agendamento!$C$3,"x",""))</f>
        <v/>
      </c>
      <c r="G925" s="13" t="str">
        <f>IF(A925="","",IF(E925=Agendamento!$C$7,"x",""))</f>
        <v/>
      </c>
      <c r="H925" s="13" t="str">
        <f>IF(A925="","",IF(AND(Agendamento!$C$3="",Agendamento!$C$7&lt;&gt;""),IF(Agendamento!$C$7='Base de Dados'!E925,"x",""),IF(AND(Agendamento!$C$3&lt;&gt;"",Agendamento!$C$7=""),IF(Agendamento!$C$3='Base de Dados'!A925,"x",""),IF(AND(Agendamento!$C$3='Base de Dados'!A925,'Base de Dados'!E925=Agendamento!$C$7),"x",""))))</f>
        <v/>
      </c>
      <c r="I925" s="13" t="str">
        <f>IF(H925="x",COUNT($I$1:I924)+1,"")</f>
        <v/>
      </c>
    </row>
    <row r="926" spans="1:9" x14ac:dyDescent="0.25">
      <c r="A926" s="27"/>
      <c r="B926" s="28"/>
      <c r="C926" s="29"/>
      <c r="D926" s="29"/>
      <c r="E926" s="28"/>
      <c r="F926" s="13" t="str">
        <f>IF(A926="","",IF(A926=Agendamento!$C$3,"x",""))</f>
        <v/>
      </c>
      <c r="G926" s="13" t="str">
        <f>IF(A926="","",IF(E926=Agendamento!$C$7,"x",""))</f>
        <v/>
      </c>
      <c r="H926" s="13" t="str">
        <f>IF(A926="","",IF(AND(Agendamento!$C$3="",Agendamento!$C$7&lt;&gt;""),IF(Agendamento!$C$7='Base de Dados'!E926,"x",""),IF(AND(Agendamento!$C$3&lt;&gt;"",Agendamento!$C$7=""),IF(Agendamento!$C$3='Base de Dados'!A926,"x",""),IF(AND(Agendamento!$C$3='Base de Dados'!A926,'Base de Dados'!E926=Agendamento!$C$7),"x",""))))</f>
        <v/>
      </c>
      <c r="I926" s="13" t="str">
        <f>IF(H926="x",COUNT($I$1:I925)+1,"")</f>
        <v/>
      </c>
    </row>
    <row r="927" spans="1:9" x14ac:dyDescent="0.25">
      <c r="A927" s="27"/>
      <c r="B927" s="28"/>
      <c r="C927" s="29"/>
      <c r="D927" s="29"/>
      <c r="E927" s="28"/>
      <c r="F927" s="13" t="str">
        <f>IF(A927="","",IF(A927=Agendamento!$C$3,"x",""))</f>
        <v/>
      </c>
      <c r="G927" s="13" t="str">
        <f>IF(A927="","",IF(E927=Agendamento!$C$7,"x",""))</f>
        <v/>
      </c>
      <c r="H927" s="13" t="str">
        <f>IF(A927="","",IF(AND(Agendamento!$C$3="",Agendamento!$C$7&lt;&gt;""),IF(Agendamento!$C$7='Base de Dados'!E927,"x",""),IF(AND(Agendamento!$C$3&lt;&gt;"",Agendamento!$C$7=""),IF(Agendamento!$C$3='Base de Dados'!A927,"x",""),IF(AND(Agendamento!$C$3='Base de Dados'!A927,'Base de Dados'!E927=Agendamento!$C$7),"x",""))))</f>
        <v/>
      </c>
      <c r="I927" s="13" t="str">
        <f>IF(H927="x",COUNT($I$1:I926)+1,"")</f>
        <v/>
      </c>
    </row>
    <row r="928" spans="1:9" x14ac:dyDescent="0.25">
      <c r="A928" s="27"/>
      <c r="B928" s="28"/>
      <c r="C928" s="29"/>
      <c r="D928" s="29"/>
      <c r="E928" s="28"/>
      <c r="F928" s="13" t="str">
        <f>IF(A928="","",IF(A928=Agendamento!$C$3,"x",""))</f>
        <v/>
      </c>
      <c r="G928" s="13" t="str">
        <f>IF(A928="","",IF(E928=Agendamento!$C$7,"x",""))</f>
        <v/>
      </c>
      <c r="H928" s="13" t="str">
        <f>IF(A928="","",IF(AND(Agendamento!$C$3="",Agendamento!$C$7&lt;&gt;""),IF(Agendamento!$C$7='Base de Dados'!E928,"x",""),IF(AND(Agendamento!$C$3&lt;&gt;"",Agendamento!$C$7=""),IF(Agendamento!$C$3='Base de Dados'!A928,"x",""),IF(AND(Agendamento!$C$3='Base de Dados'!A928,'Base de Dados'!E928=Agendamento!$C$7),"x",""))))</f>
        <v/>
      </c>
      <c r="I928" s="13" t="str">
        <f>IF(H928="x",COUNT($I$1:I927)+1,"")</f>
        <v/>
      </c>
    </row>
    <row r="929" spans="1:9" x14ac:dyDescent="0.25">
      <c r="A929" s="27"/>
      <c r="B929" s="28"/>
      <c r="C929" s="29"/>
      <c r="D929" s="29"/>
      <c r="E929" s="28"/>
      <c r="F929" s="13" t="str">
        <f>IF(A929="","",IF(A929=Agendamento!$C$3,"x",""))</f>
        <v/>
      </c>
      <c r="G929" s="13" t="str">
        <f>IF(A929="","",IF(E929=Agendamento!$C$7,"x",""))</f>
        <v/>
      </c>
      <c r="H929" s="13" t="str">
        <f>IF(A929="","",IF(AND(Agendamento!$C$3="",Agendamento!$C$7&lt;&gt;""),IF(Agendamento!$C$7='Base de Dados'!E929,"x",""),IF(AND(Agendamento!$C$3&lt;&gt;"",Agendamento!$C$7=""),IF(Agendamento!$C$3='Base de Dados'!A929,"x",""),IF(AND(Agendamento!$C$3='Base de Dados'!A929,'Base de Dados'!E929=Agendamento!$C$7),"x",""))))</f>
        <v/>
      </c>
      <c r="I929" s="13" t="str">
        <f>IF(H929="x",COUNT($I$1:I928)+1,"")</f>
        <v/>
      </c>
    </row>
    <row r="930" spans="1:9" x14ac:dyDescent="0.25">
      <c r="A930" s="27"/>
      <c r="B930" s="28"/>
      <c r="C930" s="29"/>
      <c r="D930" s="29"/>
      <c r="E930" s="28"/>
      <c r="F930" s="13" t="str">
        <f>IF(A930="","",IF(A930=Agendamento!$C$3,"x",""))</f>
        <v/>
      </c>
      <c r="G930" s="13" t="str">
        <f>IF(A930="","",IF(E930=Agendamento!$C$7,"x",""))</f>
        <v/>
      </c>
      <c r="H930" s="13" t="str">
        <f>IF(A930="","",IF(AND(Agendamento!$C$3="",Agendamento!$C$7&lt;&gt;""),IF(Agendamento!$C$7='Base de Dados'!E930,"x",""),IF(AND(Agendamento!$C$3&lt;&gt;"",Agendamento!$C$7=""),IF(Agendamento!$C$3='Base de Dados'!A930,"x",""),IF(AND(Agendamento!$C$3='Base de Dados'!A930,'Base de Dados'!E930=Agendamento!$C$7),"x",""))))</f>
        <v/>
      </c>
      <c r="I930" s="13" t="str">
        <f>IF(H930="x",COUNT($I$1:I929)+1,"")</f>
        <v/>
      </c>
    </row>
    <row r="931" spans="1:9" x14ac:dyDescent="0.25">
      <c r="A931" s="27"/>
      <c r="B931" s="28"/>
      <c r="C931" s="29"/>
      <c r="D931" s="29"/>
      <c r="E931" s="28"/>
      <c r="F931" s="13" t="str">
        <f>IF(A931="","",IF(A931=Agendamento!$C$3,"x",""))</f>
        <v/>
      </c>
      <c r="G931" s="13" t="str">
        <f>IF(A931="","",IF(E931=Agendamento!$C$7,"x",""))</f>
        <v/>
      </c>
      <c r="H931" s="13" t="str">
        <f>IF(A931="","",IF(AND(Agendamento!$C$3="",Agendamento!$C$7&lt;&gt;""),IF(Agendamento!$C$7='Base de Dados'!E931,"x",""),IF(AND(Agendamento!$C$3&lt;&gt;"",Agendamento!$C$7=""),IF(Agendamento!$C$3='Base de Dados'!A931,"x",""),IF(AND(Agendamento!$C$3='Base de Dados'!A931,'Base de Dados'!E931=Agendamento!$C$7),"x",""))))</f>
        <v/>
      </c>
      <c r="I931" s="13" t="str">
        <f>IF(H931="x",COUNT($I$1:I930)+1,"")</f>
        <v/>
      </c>
    </row>
    <row r="932" spans="1:9" x14ac:dyDescent="0.25">
      <c r="A932" s="27"/>
      <c r="B932" s="28"/>
      <c r="C932" s="29"/>
      <c r="D932" s="29"/>
      <c r="E932" s="28"/>
      <c r="F932" s="13" t="str">
        <f>IF(A932="","",IF(A932=Agendamento!$C$3,"x",""))</f>
        <v/>
      </c>
      <c r="G932" s="13" t="str">
        <f>IF(A932="","",IF(E932=Agendamento!$C$7,"x",""))</f>
        <v/>
      </c>
      <c r="H932" s="13" t="str">
        <f>IF(A932="","",IF(AND(Agendamento!$C$3="",Agendamento!$C$7&lt;&gt;""),IF(Agendamento!$C$7='Base de Dados'!E932,"x",""),IF(AND(Agendamento!$C$3&lt;&gt;"",Agendamento!$C$7=""),IF(Agendamento!$C$3='Base de Dados'!A932,"x",""),IF(AND(Agendamento!$C$3='Base de Dados'!A932,'Base de Dados'!E932=Agendamento!$C$7),"x",""))))</f>
        <v/>
      </c>
      <c r="I932" s="13" t="str">
        <f>IF(H932="x",COUNT($I$1:I931)+1,"")</f>
        <v/>
      </c>
    </row>
    <row r="933" spans="1:9" x14ac:dyDescent="0.25">
      <c r="A933" s="27"/>
      <c r="B933" s="28"/>
      <c r="C933" s="29"/>
      <c r="D933" s="29"/>
      <c r="E933" s="28"/>
      <c r="F933" s="13" t="str">
        <f>IF(A933="","",IF(A933=Agendamento!$C$3,"x",""))</f>
        <v/>
      </c>
      <c r="G933" s="13" t="str">
        <f>IF(A933="","",IF(E933=Agendamento!$C$7,"x",""))</f>
        <v/>
      </c>
      <c r="H933" s="13" t="str">
        <f>IF(A933="","",IF(AND(Agendamento!$C$3="",Agendamento!$C$7&lt;&gt;""),IF(Agendamento!$C$7='Base de Dados'!E933,"x",""),IF(AND(Agendamento!$C$3&lt;&gt;"",Agendamento!$C$7=""),IF(Agendamento!$C$3='Base de Dados'!A933,"x",""),IF(AND(Agendamento!$C$3='Base de Dados'!A933,'Base de Dados'!E933=Agendamento!$C$7),"x",""))))</f>
        <v/>
      </c>
      <c r="I933" s="13" t="str">
        <f>IF(H933="x",COUNT($I$1:I932)+1,"")</f>
        <v/>
      </c>
    </row>
    <row r="934" spans="1:9" x14ac:dyDescent="0.25">
      <c r="A934" s="27"/>
      <c r="B934" s="28"/>
      <c r="C934" s="29"/>
      <c r="D934" s="29"/>
      <c r="E934" s="28"/>
      <c r="F934" s="13" t="str">
        <f>IF(A934="","",IF(A934=Agendamento!$C$3,"x",""))</f>
        <v/>
      </c>
      <c r="G934" s="13" t="str">
        <f>IF(A934="","",IF(E934=Agendamento!$C$7,"x",""))</f>
        <v/>
      </c>
      <c r="H934" s="13" t="str">
        <f>IF(A934="","",IF(AND(Agendamento!$C$3="",Agendamento!$C$7&lt;&gt;""),IF(Agendamento!$C$7='Base de Dados'!E934,"x",""),IF(AND(Agendamento!$C$3&lt;&gt;"",Agendamento!$C$7=""),IF(Agendamento!$C$3='Base de Dados'!A934,"x",""),IF(AND(Agendamento!$C$3='Base de Dados'!A934,'Base de Dados'!E934=Agendamento!$C$7),"x",""))))</f>
        <v/>
      </c>
      <c r="I934" s="13" t="str">
        <f>IF(H934="x",COUNT($I$1:I933)+1,"")</f>
        <v/>
      </c>
    </row>
    <row r="935" spans="1:9" x14ac:dyDescent="0.25">
      <c r="A935" s="27"/>
      <c r="B935" s="28"/>
      <c r="C935" s="29"/>
      <c r="D935" s="29"/>
      <c r="E935" s="28"/>
      <c r="F935" s="13" t="str">
        <f>IF(A935="","",IF(A935=Agendamento!$C$3,"x",""))</f>
        <v/>
      </c>
      <c r="G935" s="13" t="str">
        <f>IF(A935="","",IF(E935=Agendamento!$C$7,"x",""))</f>
        <v/>
      </c>
      <c r="H935" s="13" t="str">
        <f>IF(A935="","",IF(AND(Agendamento!$C$3="",Agendamento!$C$7&lt;&gt;""),IF(Agendamento!$C$7='Base de Dados'!E935,"x",""),IF(AND(Agendamento!$C$3&lt;&gt;"",Agendamento!$C$7=""),IF(Agendamento!$C$3='Base de Dados'!A935,"x",""),IF(AND(Agendamento!$C$3='Base de Dados'!A935,'Base de Dados'!E935=Agendamento!$C$7),"x",""))))</f>
        <v/>
      </c>
      <c r="I935" s="13" t="str">
        <f>IF(H935="x",COUNT($I$1:I934)+1,"")</f>
        <v/>
      </c>
    </row>
    <row r="936" spans="1:9" x14ac:dyDescent="0.25">
      <c r="A936" s="27"/>
      <c r="B936" s="28"/>
      <c r="C936" s="29"/>
      <c r="D936" s="29"/>
      <c r="E936" s="28"/>
      <c r="F936" s="13" t="str">
        <f>IF(A936="","",IF(A936=Agendamento!$C$3,"x",""))</f>
        <v/>
      </c>
      <c r="G936" s="13" t="str">
        <f>IF(A936="","",IF(E936=Agendamento!$C$7,"x",""))</f>
        <v/>
      </c>
      <c r="H936" s="13" t="str">
        <f>IF(A936="","",IF(AND(Agendamento!$C$3="",Agendamento!$C$7&lt;&gt;""),IF(Agendamento!$C$7='Base de Dados'!E936,"x",""),IF(AND(Agendamento!$C$3&lt;&gt;"",Agendamento!$C$7=""),IF(Agendamento!$C$3='Base de Dados'!A936,"x",""),IF(AND(Agendamento!$C$3='Base de Dados'!A936,'Base de Dados'!E936=Agendamento!$C$7),"x",""))))</f>
        <v/>
      </c>
      <c r="I936" s="13" t="str">
        <f>IF(H936="x",COUNT($I$1:I935)+1,"")</f>
        <v/>
      </c>
    </row>
    <row r="937" spans="1:9" x14ac:dyDescent="0.25">
      <c r="A937" s="27"/>
      <c r="B937" s="28"/>
      <c r="C937" s="29"/>
      <c r="D937" s="29"/>
      <c r="E937" s="28"/>
      <c r="F937" s="13" t="str">
        <f>IF(A937="","",IF(A937=Agendamento!$C$3,"x",""))</f>
        <v/>
      </c>
      <c r="G937" s="13" t="str">
        <f>IF(A937="","",IF(E937=Agendamento!$C$7,"x",""))</f>
        <v/>
      </c>
      <c r="H937" s="13" t="str">
        <f>IF(A937="","",IF(AND(Agendamento!$C$3="",Agendamento!$C$7&lt;&gt;""),IF(Agendamento!$C$7='Base de Dados'!E937,"x",""),IF(AND(Agendamento!$C$3&lt;&gt;"",Agendamento!$C$7=""),IF(Agendamento!$C$3='Base de Dados'!A937,"x",""),IF(AND(Agendamento!$C$3='Base de Dados'!A937,'Base de Dados'!E937=Agendamento!$C$7),"x",""))))</f>
        <v/>
      </c>
      <c r="I937" s="13" t="str">
        <f>IF(H937="x",COUNT($I$1:I936)+1,"")</f>
        <v/>
      </c>
    </row>
    <row r="938" spans="1:9" x14ac:dyDescent="0.25">
      <c r="A938" s="27"/>
      <c r="B938" s="28"/>
      <c r="C938" s="29"/>
      <c r="D938" s="29"/>
      <c r="E938" s="28"/>
      <c r="F938" s="13" t="str">
        <f>IF(A938="","",IF(A938=Agendamento!$C$3,"x",""))</f>
        <v/>
      </c>
      <c r="G938" s="13" t="str">
        <f>IF(A938="","",IF(E938=Agendamento!$C$7,"x",""))</f>
        <v/>
      </c>
      <c r="H938" s="13" t="str">
        <f>IF(A938="","",IF(AND(Agendamento!$C$3="",Agendamento!$C$7&lt;&gt;""),IF(Agendamento!$C$7='Base de Dados'!E938,"x",""),IF(AND(Agendamento!$C$3&lt;&gt;"",Agendamento!$C$7=""),IF(Agendamento!$C$3='Base de Dados'!A938,"x",""),IF(AND(Agendamento!$C$3='Base de Dados'!A938,'Base de Dados'!E938=Agendamento!$C$7),"x",""))))</f>
        <v/>
      </c>
      <c r="I938" s="13" t="str">
        <f>IF(H938="x",COUNT($I$1:I937)+1,"")</f>
        <v/>
      </c>
    </row>
    <row r="939" spans="1:9" x14ac:dyDescent="0.25">
      <c r="A939" s="27"/>
      <c r="B939" s="28"/>
      <c r="C939" s="29"/>
      <c r="D939" s="29"/>
      <c r="E939" s="28"/>
      <c r="F939" s="13" t="str">
        <f>IF(A939="","",IF(A939=Agendamento!$C$3,"x",""))</f>
        <v/>
      </c>
      <c r="G939" s="13" t="str">
        <f>IF(A939="","",IF(E939=Agendamento!$C$7,"x",""))</f>
        <v/>
      </c>
      <c r="H939" s="13" t="str">
        <f>IF(A939="","",IF(AND(Agendamento!$C$3="",Agendamento!$C$7&lt;&gt;""),IF(Agendamento!$C$7='Base de Dados'!E939,"x",""),IF(AND(Agendamento!$C$3&lt;&gt;"",Agendamento!$C$7=""),IF(Agendamento!$C$3='Base de Dados'!A939,"x",""),IF(AND(Agendamento!$C$3='Base de Dados'!A939,'Base de Dados'!E939=Agendamento!$C$7),"x",""))))</f>
        <v/>
      </c>
      <c r="I939" s="13" t="str">
        <f>IF(H939="x",COUNT($I$1:I938)+1,"")</f>
        <v/>
      </c>
    </row>
    <row r="940" spans="1:9" x14ac:dyDescent="0.25">
      <c r="A940" s="27"/>
      <c r="B940" s="28"/>
      <c r="C940" s="29"/>
      <c r="D940" s="29"/>
      <c r="E940" s="28"/>
      <c r="F940" s="13" t="str">
        <f>IF(A940="","",IF(A940=Agendamento!$C$3,"x",""))</f>
        <v/>
      </c>
      <c r="G940" s="13" t="str">
        <f>IF(A940="","",IF(E940=Agendamento!$C$7,"x",""))</f>
        <v/>
      </c>
      <c r="H940" s="13" t="str">
        <f>IF(A940="","",IF(AND(Agendamento!$C$3="",Agendamento!$C$7&lt;&gt;""),IF(Agendamento!$C$7='Base de Dados'!E940,"x",""),IF(AND(Agendamento!$C$3&lt;&gt;"",Agendamento!$C$7=""),IF(Agendamento!$C$3='Base de Dados'!A940,"x",""),IF(AND(Agendamento!$C$3='Base de Dados'!A940,'Base de Dados'!E940=Agendamento!$C$7),"x",""))))</f>
        <v/>
      </c>
      <c r="I940" s="13" t="str">
        <f>IF(H940="x",COUNT($I$1:I939)+1,"")</f>
        <v/>
      </c>
    </row>
    <row r="941" spans="1:9" x14ac:dyDescent="0.25">
      <c r="A941" s="27"/>
      <c r="B941" s="28"/>
      <c r="C941" s="29"/>
      <c r="D941" s="29"/>
      <c r="E941" s="28"/>
      <c r="F941" s="13" t="str">
        <f>IF(A941="","",IF(A941=Agendamento!$C$3,"x",""))</f>
        <v/>
      </c>
      <c r="G941" s="13" t="str">
        <f>IF(A941="","",IF(E941=Agendamento!$C$7,"x",""))</f>
        <v/>
      </c>
      <c r="H941" s="13" t="str">
        <f>IF(A941="","",IF(AND(Agendamento!$C$3="",Agendamento!$C$7&lt;&gt;""),IF(Agendamento!$C$7='Base de Dados'!E941,"x",""),IF(AND(Agendamento!$C$3&lt;&gt;"",Agendamento!$C$7=""),IF(Agendamento!$C$3='Base de Dados'!A941,"x",""),IF(AND(Agendamento!$C$3='Base de Dados'!A941,'Base de Dados'!E941=Agendamento!$C$7),"x",""))))</f>
        <v/>
      </c>
      <c r="I941" s="13" t="str">
        <f>IF(H941="x",COUNT($I$1:I940)+1,"")</f>
        <v/>
      </c>
    </row>
    <row r="942" spans="1:9" x14ac:dyDescent="0.25">
      <c r="A942" s="27"/>
      <c r="B942" s="28"/>
      <c r="C942" s="29"/>
      <c r="D942" s="29"/>
      <c r="E942" s="28"/>
      <c r="F942" s="13" t="str">
        <f>IF(A942="","",IF(A942=Agendamento!$C$3,"x",""))</f>
        <v/>
      </c>
      <c r="G942" s="13" t="str">
        <f>IF(A942="","",IF(E942=Agendamento!$C$7,"x",""))</f>
        <v/>
      </c>
      <c r="H942" s="13" t="str">
        <f>IF(A942="","",IF(AND(Agendamento!$C$3="",Agendamento!$C$7&lt;&gt;""),IF(Agendamento!$C$7='Base de Dados'!E942,"x",""),IF(AND(Agendamento!$C$3&lt;&gt;"",Agendamento!$C$7=""),IF(Agendamento!$C$3='Base de Dados'!A942,"x",""),IF(AND(Agendamento!$C$3='Base de Dados'!A942,'Base de Dados'!E942=Agendamento!$C$7),"x",""))))</f>
        <v/>
      </c>
      <c r="I942" s="13" t="str">
        <f>IF(H942="x",COUNT($I$1:I941)+1,"")</f>
        <v/>
      </c>
    </row>
    <row r="943" spans="1:9" x14ac:dyDescent="0.25">
      <c r="A943" s="27"/>
      <c r="B943" s="28"/>
      <c r="C943" s="29"/>
      <c r="D943" s="29"/>
      <c r="E943" s="28"/>
      <c r="F943" s="13" t="str">
        <f>IF(A943="","",IF(A943=Agendamento!$C$3,"x",""))</f>
        <v/>
      </c>
      <c r="G943" s="13" t="str">
        <f>IF(A943="","",IF(E943=Agendamento!$C$7,"x",""))</f>
        <v/>
      </c>
      <c r="H943" s="13" t="str">
        <f>IF(A943="","",IF(AND(Agendamento!$C$3="",Agendamento!$C$7&lt;&gt;""),IF(Agendamento!$C$7='Base de Dados'!E943,"x",""),IF(AND(Agendamento!$C$3&lt;&gt;"",Agendamento!$C$7=""),IF(Agendamento!$C$3='Base de Dados'!A943,"x",""),IF(AND(Agendamento!$C$3='Base de Dados'!A943,'Base de Dados'!E943=Agendamento!$C$7),"x",""))))</f>
        <v/>
      </c>
      <c r="I943" s="13" t="str">
        <f>IF(H943="x",COUNT($I$1:I942)+1,"")</f>
        <v/>
      </c>
    </row>
    <row r="944" spans="1:9" x14ac:dyDescent="0.25">
      <c r="A944" s="27"/>
      <c r="B944" s="28"/>
      <c r="C944" s="29"/>
      <c r="D944" s="29"/>
      <c r="E944" s="28"/>
      <c r="F944" s="13" t="str">
        <f>IF(A944="","",IF(A944=Agendamento!$C$3,"x",""))</f>
        <v/>
      </c>
      <c r="G944" s="13" t="str">
        <f>IF(A944="","",IF(E944=Agendamento!$C$7,"x",""))</f>
        <v/>
      </c>
      <c r="H944" s="13" t="str">
        <f>IF(A944="","",IF(AND(Agendamento!$C$3="",Agendamento!$C$7&lt;&gt;""),IF(Agendamento!$C$7='Base de Dados'!E944,"x",""),IF(AND(Agendamento!$C$3&lt;&gt;"",Agendamento!$C$7=""),IF(Agendamento!$C$3='Base de Dados'!A944,"x",""),IF(AND(Agendamento!$C$3='Base de Dados'!A944,'Base de Dados'!E944=Agendamento!$C$7),"x",""))))</f>
        <v/>
      </c>
      <c r="I944" s="13" t="str">
        <f>IF(H944="x",COUNT($I$1:I943)+1,"")</f>
        <v/>
      </c>
    </row>
    <row r="945" spans="1:9" x14ac:dyDescent="0.25">
      <c r="A945" s="27"/>
      <c r="B945" s="28"/>
      <c r="C945" s="29"/>
      <c r="D945" s="29"/>
      <c r="E945" s="28"/>
      <c r="F945" s="13" t="str">
        <f>IF(A945="","",IF(A945=Agendamento!$C$3,"x",""))</f>
        <v/>
      </c>
      <c r="G945" s="13" t="str">
        <f>IF(A945="","",IF(E945=Agendamento!$C$7,"x",""))</f>
        <v/>
      </c>
      <c r="H945" s="13" t="str">
        <f>IF(A945="","",IF(AND(Agendamento!$C$3="",Agendamento!$C$7&lt;&gt;""),IF(Agendamento!$C$7='Base de Dados'!E945,"x",""),IF(AND(Agendamento!$C$3&lt;&gt;"",Agendamento!$C$7=""),IF(Agendamento!$C$3='Base de Dados'!A945,"x",""),IF(AND(Agendamento!$C$3='Base de Dados'!A945,'Base de Dados'!E945=Agendamento!$C$7),"x",""))))</f>
        <v/>
      </c>
      <c r="I945" s="13" t="str">
        <f>IF(H945="x",COUNT($I$1:I944)+1,"")</f>
        <v/>
      </c>
    </row>
    <row r="946" spans="1:9" x14ac:dyDescent="0.25">
      <c r="A946" s="27"/>
      <c r="B946" s="28"/>
      <c r="C946" s="29"/>
      <c r="D946" s="29"/>
      <c r="E946" s="28"/>
      <c r="F946" s="13" t="str">
        <f>IF(A946="","",IF(A946=Agendamento!$C$3,"x",""))</f>
        <v/>
      </c>
      <c r="G946" s="13" t="str">
        <f>IF(A946="","",IF(E946=Agendamento!$C$7,"x",""))</f>
        <v/>
      </c>
      <c r="H946" s="13" t="str">
        <f>IF(A946="","",IF(AND(Agendamento!$C$3="",Agendamento!$C$7&lt;&gt;""),IF(Agendamento!$C$7='Base de Dados'!E946,"x",""),IF(AND(Agendamento!$C$3&lt;&gt;"",Agendamento!$C$7=""),IF(Agendamento!$C$3='Base de Dados'!A946,"x",""),IF(AND(Agendamento!$C$3='Base de Dados'!A946,'Base de Dados'!E946=Agendamento!$C$7),"x",""))))</f>
        <v/>
      </c>
      <c r="I946" s="13" t="str">
        <f>IF(H946="x",COUNT($I$1:I945)+1,"")</f>
        <v/>
      </c>
    </row>
    <row r="947" spans="1:9" x14ac:dyDescent="0.25">
      <c r="A947" s="27"/>
      <c r="B947" s="28"/>
      <c r="C947" s="29"/>
      <c r="D947" s="29"/>
      <c r="E947" s="28"/>
      <c r="F947" s="13" t="str">
        <f>IF(A947="","",IF(A947=Agendamento!$C$3,"x",""))</f>
        <v/>
      </c>
      <c r="G947" s="13" t="str">
        <f>IF(A947="","",IF(E947=Agendamento!$C$7,"x",""))</f>
        <v/>
      </c>
      <c r="H947" s="13" t="str">
        <f>IF(A947="","",IF(AND(Agendamento!$C$3="",Agendamento!$C$7&lt;&gt;""),IF(Agendamento!$C$7='Base de Dados'!E947,"x",""),IF(AND(Agendamento!$C$3&lt;&gt;"",Agendamento!$C$7=""),IF(Agendamento!$C$3='Base de Dados'!A947,"x",""),IF(AND(Agendamento!$C$3='Base de Dados'!A947,'Base de Dados'!E947=Agendamento!$C$7),"x",""))))</f>
        <v/>
      </c>
      <c r="I947" s="13" t="str">
        <f>IF(H947="x",COUNT($I$1:I946)+1,"")</f>
        <v/>
      </c>
    </row>
    <row r="948" spans="1:9" x14ac:dyDescent="0.25">
      <c r="A948" s="27"/>
      <c r="B948" s="28"/>
      <c r="C948" s="29"/>
      <c r="D948" s="29"/>
      <c r="E948" s="28"/>
      <c r="F948" s="13" t="str">
        <f>IF(A948="","",IF(A948=Agendamento!$C$3,"x",""))</f>
        <v/>
      </c>
      <c r="G948" s="13" t="str">
        <f>IF(A948="","",IF(E948=Agendamento!$C$7,"x",""))</f>
        <v/>
      </c>
      <c r="H948" s="13" t="str">
        <f>IF(A948="","",IF(AND(Agendamento!$C$3="",Agendamento!$C$7&lt;&gt;""),IF(Agendamento!$C$7='Base de Dados'!E948,"x",""),IF(AND(Agendamento!$C$3&lt;&gt;"",Agendamento!$C$7=""),IF(Agendamento!$C$3='Base de Dados'!A948,"x",""),IF(AND(Agendamento!$C$3='Base de Dados'!A948,'Base de Dados'!E948=Agendamento!$C$7),"x",""))))</f>
        <v/>
      </c>
      <c r="I948" s="13" t="str">
        <f>IF(H948="x",COUNT($I$1:I947)+1,"")</f>
        <v/>
      </c>
    </row>
    <row r="949" spans="1:9" x14ac:dyDescent="0.25">
      <c r="A949" s="27"/>
      <c r="B949" s="28"/>
      <c r="C949" s="29"/>
      <c r="D949" s="29"/>
      <c r="E949" s="28"/>
      <c r="F949" s="13" t="str">
        <f>IF(A949="","",IF(A949=Agendamento!$C$3,"x",""))</f>
        <v/>
      </c>
      <c r="G949" s="13" t="str">
        <f>IF(A949="","",IF(E949=Agendamento!$C$7,"x",""))</f>
        <v/>
      </c>
      <c r="H949" s="13" t="str">
        <f>IF(A949="","",IF(AND(Agendamento!$C$3="",Agendamento!$C$7&lt;&gt;""),IF(Agendamento!$C$7='Base de Dados'!E949,"x",""),IF(AND(Agendamento!$C$3&lt;&gt;"",Agendamento!$C$7=""),IF(Agendamento!$C$3='Base de Dados'!A949,"x",""),IF(AND(Agendamento!$C$3='Base de Dados'!A949,'Base de Dados'!E949=Agendamento!$C$7),"x",""))))</f>
        <v/>
      </c>
      <c r="I949" s="13" t="str">
        <f>IF(H949="x",COUNT($I$1:I948)+1,"")</f>
        <v/>
      </c>
    </row>
    <row r="950" spans="1:9" x14ac:dyDescent="0.25">
      <c r="A950" s="27"/>
      <c r="B950" s="28"/>
      <c r="C950" s="29"/>
      <c r="D950" s="29"/>
      <c r="E950" s="28"/>
      <c r="F950" s="13" t="str">
        <f>IF(A950="","",IF(A950=Agendamento!$C$3,"x",""))</f>
        <v/>
      </c>
      <c r="G950" s="13" t="str">
        <f>IF(A950="","",IF(E950=Agendamento!$C$7,"x",""))</f>
        <v/>
      </c>
      <c r="H950" s="13" t="str">
        <f>IF(A950="","",IF(AND(Agendamento!$C$3="",Agendamento!$C$7&lt;&gt;""),IF(Agendamento!$C$7='Base de Dados'!E950,"x",""),IF(AND(Agendamento!$C$3&lt;&gt;"",Agendamento!$C$7=""),IF(Agendamento!$C$3='Base de Dados'!A950,"x",""),IF(AND(Agendamento!$C$3='Base de Dados'!A950,'Base de Dados'!E950=Agendamento!$C$7),"x",""))))</f>
        <v/>
      </c>
      <c r="I950" s="13" t="str">
        <f>IF(H950="x",COUNT($I$1:I949)+1,"")</f>
        <v/>
      </c>
    </row>
    <row r="951" spans="1:9" x14ac:dyDescent="0.25">
      <c r="A951" s="27"/>
      <c r="B951" s="28"/>
      <c r="C951" s="29"/>
      <c r="D951" s="29"/>
      <c r="E951" s="28"/>
      <c r="F951" s="13" t="str">
        <f>IF(A951="","",IF(A951=Agendamento!$C$3,"x",""))</f>
        <v/>
      </c>
      <c r="G951" s="13" t="str">
        <f>IF(A951="","",IF(E951=Agendamento!$C$7,"x",""))</f>
        <v/>
      </c>
      <c r="H951" s="13" t="str">
        <f>IF(A951="","",IF(AND(Agendamento!$C$3="",Agendamento!$C$7&lt;&gt;""),IF(Agendamento!$C$7='Base de Dados'!E951,"x",""),IF(AND(Agendamento!$C$3&lt;&gt;"",Agendamento!$C$7=""),IF(Agendamento!$C$3='Base de Dados'!A951,"x",""),IF(AND(Agendamento!$C$3='Base de Dados'!A951,'Base de Dados'!E951=Agendamento!$C$7),"x",""))))</f>
        <v/>
      </c>
      <c r="I951" s="13" t="str">
        <f>IF(H951="x",COUNT($I$1:I950)+1,"")</f>
        <v/>
      </c>
    </row>
    <row r="952" spans="1:9" x14ac:dyDescent="0.25">
      <c r="A952" s="27"/>
      <c r="B952" s="28"/>
      <c r="C952" s="29"/>
      <c r="D952" s="29"/>
      <c r="E952" s="28"/>
      <c r="F952" s="13" t="str">
        <f>IF(A952="","",IF(A952=Agendamento!$C$3,"x",""))</f>
        <v/>
      </c>
      <c r="G952" s="13" t="str">
        <f>IF(A952="","",IF(E952=Agendamento!$C$7,"x",""))</f>
        <v/>
      </c>
      <c r="H952" s="13" t="str">
        <f>IF(A952="","",IF(AND(Agendamento!$C$3="",Agendamento!$C$7&lt;&gt;""),IF(Agendamento!$C$7='Base de Dados'!E952,"x",""),IF(AND(Agendamento!$C$3&lt;&gt;"",Agendamento!$C$7=""),IF(Agendamento!$C$3='Base de Dados'!A952,"x",""),IF(AND(Agendamento!$C$3='Base de Dados'!A952,'Base de Dados'!E952=Agendamento!$C$7),"x",""))))</f>
        <v/>
      </c>
      <c r="I952" s="13" t="str">
        <f>IF(H952="x",COUNT($I$1:I951)+1,"")</f>
        <v/>
      </c>
    </row>
    <row r="953" spans="1:9" x14ac:dyDescent="0.25">
      <c r="A953" s="27"/>
      <c r="B953" s="28"/>
      <c r="C953" s="29"/>
      <c r="D953" s="29"/>
      <c r="E953" s="28"/>
      <c r="F953" s="13" t="str">
        <f>IF(A953="","",IF(A953=Agendamento!$C$3,"x",""))</f>
        <v/>
      </c>
      <c r="G953" s="13" t="str">
        <f>IF(A953="","",IF(E953=Agendamento!$C$7,"x",""))</f>
        <v/>
      </c>
      <c r="H953" s="13" t="str">
        <f>IF(A953="","",IF(AND(Agendamento!$C$3="",Agendamento!$C$7&lt;&gt;""),IF(Agendamento!$C$7='Base de Dados'!E953,"x",""),IF(AND(Agendamento!$C$3&lt;&gt;"",Agendamento!$C$7=""),IF(Agendamento!$C$3='Base de Dados'!A953,"x",""),IF(AND(Agendamento!$C$3='Base de Dados'!A953,'Base de Dados'!E953=Agendamento!$C$7),"x",""))))</f>
        <v/>
      </c>
      <c r="I953" s="13" t="str">
        <f>IF(H953="x",COUNT($I$1:I952)+1,"")</f>
        <v/>
      </c>
    </row>
    <row r="954" spans="1:9" x14ac:dyDescent="0.25">
      <c r="A954" s="27"/>
      <c r="B954" s="28"/>
      <c r="C954" s="29"/>
      <c r="D954" s="29"/>
      <c r="E954" s="28"/>
      <c r="F954" s="13" t="str">
        <f>IF(A954="","",IF(A954=Agendamento!$C$3,"x",""))</f>
        <v/>
      </c>
      <c r="G954" s="13" t="str">
        <f>IF(A954="","",IF(E954=Agendamento!$C$7,"x",""))</f>
        <v/>
      </c>
      <c r="H954" s="13" t="str">
        <f>IF(A954="","",IF(AND(Agendamento!$C$3="",Agendamento!$C$7&lt;&gt;""),IF(Agendamento!$C$7='Base de Dados'!E954,"x",""),IF(AND(Agendamento!$C$3&lt;&gt;"",Agendamento!$C$7=""),IF(Agendamento!$C$3='Base de Dados'!A954,"x",""),IF(AND(Agendamento!$C$3='Base de Dados'!A954,'Base de Dados'!E954=Agendamento!$C$7),"x",""))))</f>
        <v/>
      </c>
      <c r="I954" s="13" t="str">
        <f>IF(H954="x",COUNT($I$1:I953)+1,"")</f>
        <v/>
      </c>
    </row>
    <row r="955" spans="1:9" x14ac:dyDescent="0.25">
      <c r="A955" s="27"/>
      <c r="B955" s="28"/>
      <c r="C955" s="29"/>
      <c r="D955" s="29"/>
      <c r="E955" s="28"/>
      <c r="F955" s="13" t="str">
        <f>IF(A955="","",IF(A955=Agendamento!$C$3,"x",""))</f>
        <v/>
      </c>
      <c r="G955" s="13" t="str">
        <f>IF(A955="","",IF(E955=Agendamento!$C$7,"x",""))</f>
        <v/>
      </c>
      <c r="H955" s="13" t="str">
        <f>IF(A955="","",IF(AND(Agendamento!$C$3="",Agendamento!$C$7&lt;&gt;""),IF(Agendamento!$C$7='Base de Dados'!E955,"x",""),IF(AND(Agendamento!$C$3&lt;&gt;"",Agendamento!$C$7=""),IF(Agendamento!$C$3='Base de Dados'!A955,"x",""),IF(AND(Agendamento!$C$3='Base de Dados'!A955,'Base de Dados'!E955=Agendamento!$C$7),"x",""))))</f>
        <v/>
      </c>
      <c r="I955" s="13" t="str">
        <f>IF(H955="x",COUNT($I$1:I954)+1,"")</f>
        <v/>
      </c>
    </row>
    <row r="956" spans="1:9" x14ac:dyDescent="0.25">
      <c r="A956" s="27"/>
      <c r="B956" s="28"/>
      <c r="C956" s="29"/>
      <c r="D956" s="29"/>
      <c r="E956" s="28"/>
      <c r="F956" s="13" t="str">
        <f>IF(A956="","",IF(A956=Agendamento!$C$3,"x",""))</f>
        <v/>
      </c>
      <c r="G956" s="13" t="str">
        <f>IF(A956="","",IF(E956=Agendamento!$C$7,"x",""))</f>
        <v/>
      </c>
      <c r="H956" s="13" t="str">
        <f>IF(A956="","",IF(AND(Agendamento!$C$3="",Agendamento!$C$7&lt;&gt;""),IF(Agendamento!$C$7='Base de Dados'!E956,"x",""),IF(AND(Agendamento!$C$3&lt;&gt;"",Agendamento!$C$7=""),IF(Agendamento!$C$3='Base de Dados'!A956,"x",""),IF(AND(Agendamento!$C$3='Base de Dados'!A956,'Base de Dados'!E956=Agendamento!$C$7),"x",""))))</f>
        <v/>
      </c>
      <c r="I956" s="13" t="str">
        <f>IF(H956="x",COUNT($I$1:I955)+1,"")</f>
        <v/>
      </c>
    </row>
    <row r="957" spans="1:9" x14ac:dyDescent="0.25">
      <c r="A957" s="27"/>
      <c r="B957" s="28"/>
      <c r="C957" s="29"/>
      <c r="D957" s="29"/>
      <c r="E957" s="28"/>
      <c r="F957" s="13" t="str">
        <f>IF(A957="","",IF(A957=Agendamento!$C$3,"x",""))</f>
        <v/>
      </c>
      <c r="G957" s="13" t="str">
        <f>IF(A957="","",IF(E957=Agendamento!$C$7,"x",""))</f>
        <v/>
      </c>
      <c r="H957" s="13" t="str">
        <f>IF(A957="","",IF(AND(Agendamento!$C$3="",Agendamento!$C$7&lt;&gt;""),IF(Agendamento!$C$7='Base de Dados'!E957,"x",""),IF(AND(Agendamento!$C$3&lt;&gt;"",Agendamento!$C$7=""),IF(Agendamento!$C$3='Base de Dados'!A957,"x",""),IF(AND(Agendamento!$C$3='Base de Dados'!A957,'Base de Dados'!E957=Agendamento!$C$7),"x",""))))</f>
        <v/>
      </c>
      <c r="I957" s="13" t="str">
        <f>IF(H957="x",COUNT($I$1:I956)+1,"")</f>
        <v/>
      </c>
    </row>
    <row r="958" spans="1:9" x14ac:dyDescent="0.25">
      <c r="A958" s="27"/>
      <c r="B958" s="28"/>
      <c r="C958" s="29"/>
      <c r="D958" s="29"/>
      <c r="E958" s="28"/>
      <c r="F958" s="13" t="str">
        <f>IF(A958="","",IF(A958=Agendamento!$C$3,"x",""))</f>
        <v/>
      </c>
      <c r="G958" s="13" t="str">
        <f>IF(A958="","",IF(E958=Agendamento!$C$7,"x",""))</f>
        <v/>
      </c>
      <c r="H958" s="13" t="str">
        <f>IF(A958="","",IF(AND(Agendamento!$C$3="",Agendamento!$C$7&lt;&gt;""),IF(Agendamento!$C$7='Base de Dados'!E958,"x",""),IF(AND(Agendamento!$C$3&lt;&gt;"",Agendamento!$C$7=""),IF(Agendamento!$C$3='Base de Dados'!A958,"x",""),IF(AND(Agendamento!$C$3='Base de Dados'!A958,'Base de Dados'!E958=Agendamento!$C$7),"x",""))))</f>
        <v/>
      </c>
      <c r="I958" s="13" t="str">
        <f>IF(H958="x",COUNT($I$1:I957)+1,"")</f>
        <v/>
      </c>
    </row>
    <row r="959" spans="1:9" x14ac:dyDescent="0.25">
      <c r="A959" s="27"/>
      <c r="B959" s="28"/>
      <c r="C959" s="29"/>
      <c r="D959" s="29"/>
      <c r="E959" s="28"/>
      <c r="F959" s="13" t="str">
        <f>IF(A959="","",IF(A959=Agendamento!$C$3,"x",""))</f>
        <v/>
      </c>
      <c r="G959" s="13" t="str">
        <f>IF(A959="","",IF(E959=Agendamento!$C$7,"x",""))</f>
        <v/>
      </c>
      <c r="H959" s="13" t="str">
        <f>IF(A959="","",IF(AND(Agendamento!$C$3="",Agendamento!$C$7&lt;&gt;""),IF(Agendamento!$C$7='Base de Dados'!E959,"x",""),IF(AND(Agendamento!$C$3&lt;&gt;"",Agendamento!$C$7=""),IF(Agendamento!$C$3='Base de Dados'!A959,"x",""),IF(AND(Agendamento!$C$3='Base de Dados'!A959,'Base de Dados'!E959=Agendamento!$C$7),"x",""))))</f>
        <v/>
      </c>
      <c r="I959" s="13" t="str">
        <f>IF(H959="x",COUNT($I$1:I958)+1,"")</f>
        <v/>
      </c>
    </row>
    <row r="960" spans="1:9" x14ac:dyDescent="0.25">
      <c r="A960" s="27"/>
      <c r="B960" s="28"/>
      <c r="C960" s="29"/>
      <c r="D960" s="29"/>
      <c r="E960" s="28"/>
      <c r="F960" s="13" t="str">
        <f>IF(A960="","",IF(A960=Agendamento!$C$3,"x",""))</f>
        <v/>
      </c>
      <c r="G960" s="13" t="str">
        <f>IF(A960="","",IF(E960=Agendamento!$C$7,"x",""))</f>
        <v/>
      </c>
      <c r="H960" s="13" t="str">
        <f>IF(A960="","",IF(AND(Agendamento!$C$3="",Agendamento!$C$7&lt;&gt;""),IF(Agendamento!$C$7='Base de Dados'!E960,"x",""),IF(AND(Agendamento!$C$3&lt;&gt;"",Agendamento!$C$7=""),IF(Agendamento!$C$3='Base de Dados'!A960,"x",""),IF(AND(Agendamento!$C$3='Base de Dados'!A960,'Base de Dados'!E960=Agendamento!$C$7),"x",""))))</f>
        <v/>
      </c>
      <c r="I960" s="13" t="str">
        <f>IF(H960="x",COUNT($I$1:I959)+1,"")</f>
        <v/>
      </c>
    </row>
    <row r="961" spans="1:9" x14ac:dyDescent="0.25">
      <c r="A961" s="27"/>
      <c r="B961" s="28"/>
      <c r="C961" s="29"/>
      <c r="D961" s="29"/>
      <c r="E961" s="28"/>
      <c r="F961" s="13" t="str">
        <f>IF(A961="","",IF(A961=Agendamento!$C$3,"x",""))</f>
        <v/>
      </c>
      <c r="G961" s="13" t="str">
        <f>IF(A961="","",IF(E961=Agendamento!$C$7,"x",""))</f>
        <v/>
      </c>
      <c r="H961" s="13" t="str">
        <f>IF(A961="","",IF(AND(Agendamento!$C$3="",Agendamento!$C$7&lt;&gt;""),IF(Agendamento!$C$7='Base de Dados'!E961,"x",""),IF(AND(Agendamento!$C$3&lt;&gt;"",Agendamento!$C$7=""),IF(Agendamento!$C$3='Base de Dados'!A961,"x",""),IF(AND(Agendamento!$C$3='Base de Dados'!A961,'Base de Dados'!E961=Agendamento!$C$7),"x",""))))</f>
        <v/>
      </c>
      <c r="I961" s="13" t="str">
        <f>IF(H961="x",COUNT($I$1:I960)+1,"")</f>
        <v/>
      </c>
    </row>
    <row r="962" spans="1:9" x14ac:dyDescent="0.25">
      <c r="A962" s="27"/>
      <c r="B962" s="28"/>
      <c r="C962" s="29"/>
      <c r="D962" s="29"/>
      <c r="E962" s="28"/>
      <c r="F962" s="13" t="str">
        <f>IF(A962="","",IF(A962=Agendamento!$C$3,"x",""))</f>
        <v/>
      </c>
      <c r="G962" s="13" t="str">
        <f>IF(A962="","",IF(E962=Agendamento!$C$7,"x",""))</f>
        <v/>
      </c>
      <c r="H962" s="13" t="str">
        <f>IF(A962="","",IF(AND(Agendamento!$C$3="",Agendamento!$C$7&lt;&gt;""),IF(Agendamento!$C$7='Base de Dados'!E962,"x",""),IF(AND(Agendamento!$C$3&lt;&gt;"",Agendamento!$C$7=""),IF(Agendamento!$C$3='Base de Dados'!A962,"x",""),IF(AND(Agendamento!$C$3='Base de Dados'!A962,'Base de Dados'!E962=Agendamento!$C$7),"x",""))))</f>
        <v/>
      </c>
      <c r="I962" s="13" t="str">
        <f>IF(H962="x",COUNT($I$1:I961)+1,"")</f>
        <v/>
      </c>
    </row>
    <row r="963" spans="1:9" x14ac:dyDescent="0.25">
      <c r="A963" s="27"/>
      <c r="B963" s="28"/>
      <c r="C963" s="29"/>
      <c r="D963" s="29"/>
      <c r="E963" s="28"/>
      <c r="F963" s="13" t="str">
        <f>IF(A963="","",IF(A963=Agendamento!$C$3,"x",""))</f>
        <v/>
      </c>
      <c r="G963" s="13" t="str">
        <f>IF(A963="","",IF(E963=Agendamento!$C$7,"x",""))</f>
        <v/>
      </c>
      <c r="H963" s="13" t="str">
        <f>IF(A963="","",IF(AND(Agendamento!$C$3="",Agendamento!$C$7&lt;&gt;""),IF(Agendamento!$C$7='Base de Dados'!E963,"x",""),IF(AND(Agendamento!$C$3&lt;&gt;"",Agendamento!$C$7=""),IF(Agendamento!$C$3='Base de Dados'!A963,"x",""),IF(AND(Agendamento!$C$3='Base de Dados'!A963,'Base de Dados'!E963=Agendamento!$C$7),"x",""))))</f>
        <v/>
      </c>
      <c r="I963" s="13" t="str">
        <f>IF(H963="x",COUNT($I$1:I962)+1,"")</f>
        <v/>
      </c>
    </row>
    <row r="964" spans="1:9" x14ac:dyDescent="0.25">
      <c r="A964" s="27"/>
      <c r="B964" s="28"/>
      <c r="C964" s="29"/>
      <c r="D964" s="29"/>
      <c r="E964" s="28"/>
      <c r="F964" s="13" t="str">
        <f>IF(A964="","",IF(A964=Agendamento!$C$3,"x",""))</f>
        <v/>
      </c>
      <c r="G964" s="13" t="str">
        <f>IF(A964="","",IF(E964=Agendamento!$C$7,"x",""))</f>
        <v/>
      </c>
      <c r="H964" s="13" t="str">
        <f>IF(A964="","",IF(AND(Agendamento!$C$3="",Agendamento!$C$7&lt;&gt;""),IF(Agendamento!$C$7='Base de Dados'!E964,"x",""),IF(AND(Agendamento!$C$3&lt;&gt;"",Agendamento!$C$7=""),IF(Agendamento!$C$3='Base de Dados'!A964,"x",""),IF(AND(Agendamento!$C$3='Base de Dados'!A964,'Base de Dados'!E964=Agendamento!$C$7),"x",""))))</f>
        <v/>
      </c>
      <c r="I964" s="13" t="str">
        <f>IF(H964="x",COUNT($I$1:I963)+1,"")</f>
        <v/>
      </c>
    </row>
    <row r="965" spans="1:9" x14ac:dyDescent="0.25">
      <c r="A965" s="27"/>
      <c r="B965" s="28"/>
      <c r="C965" s="29"/>
      <c r="D965" s="29"/>
      <c r="E965" s="28"/>
      <c r="F965" s="13" t="str">
        <f>IF(A965="","",IF(A965=Agendamento!$C$3,"x",""))</f>
        <v/>
      </c>
      <c r="G965" s="13" t="str">
        <f>IF(A965="","",IF(E965=Agendamento!$C$7,"x",""))</f>
        <v/>
      </c>
      <c r="H965" s="13" t="str">
        <f>IF(A965="","",IF(AND(Agendamento!$C$3="",Agendamento!$C$7&lt;&gt;""),IF(Agendamento!$C$7='Base de Dados'!E965,"x",""),IF(AND(Agendamento!$C$3&lt;&gt;"",Agendamento!$C$7=""),IF(Agendamento!$C$3='Base de Dados'!A965,"x",""),IF(AND(Agendamento!$C$3='Base de Dados'!A965,'Base de Dados'!E965=Agendamento!$C$7),"x",""))))</f>
        <v/>
      </c>
      <c r="I965" s="13" t="str">
        <f>IF(H965="x",COUNT($I$1:I964)+1,"")</f>
        <v/>
      </c>
    </row>
    <row r="966" spans="1:9" x14ac:dyDescent="0.25">
      <c r="A966" s="27"/>
      <c r="B966" s="28"/>
      <c r="C966" s="29"/>
      <c r="D966" s="29"/>
      <c r="E966" s="28"/>
      <c r="F966" s="13" t="str">
        <f>IF(A966="","",IF(A966=Agendamento!$C$3,"x",""))</f>
        <v/>
      </c>
      <c r="G966" s="13" t="str">
        <f>IF(A966="","",IF(E966=Agendamento!$C$7,"x",""))</f>
        <v/>
      </c>
      <c r="H966" s="13" t="str">
        <f>IF(A966="","",IF(AND(Agendamento!$C$3="",Agendamento!$C$7&lt;&gt;""),IF(Agendamento!$C$7='Base de Dados'!E966,"x",""),IF(AND(Agendamento!$C$3&lt;&gt;"",Agendamento!$C$7=""),IF(Agendamento!$C$3='Base de Dados'!A966,"x",""),IF(AND(Agendamento!$C$3='Base de Dados'!A966,'Base de Dados'!E966=Agendamento!$C$7),"x",""))))</f>
        <v/>
      </c>
      <c r="I966" s="13" t="str">
        <f>IF(H966="x",COUNT($I$1:I965)+1,"")</f>
        <v/>
      </c>
    </row>
    <row r="967" spans="1:9" x14ac:dyDescent="0.25">
      <c r="A967" s="27"/>
      <c r="B967" s="28"/>
      <c r="C967" s="29"/>
      <c r="D967" s="29"/>
      <c r="E967" s="28"/>
      <c r="F967" s="13" t="str">
        <f>IF(A967="","",IF(A967=Agendamento!$C$3,"x",""))</f>
        <v/>
      </c>
      <c r="G967" s="13" t="str">
        <f>IF(A967="","",IF(E967=Agendamento!$C$7,"x",""))</f>
        <v/>
      </c>
      <c r="H967" s="13" t="str">
        <f>IF(A967="","",IF(AND(Agendamento!$C$3="",Agendamento!$C$7&lt;&gt;""),IF(Agendamento!$C$7='Base de Dados'!E967,"x",""),IF(AND(Agendamento!$C$3&lt;&gt;"",Agendamento!$C$7=""),IF(Agendamento!$C$3='Base de Dados'!A967,"x",""),IF(AND(Agendamento!$C$3='Base de Dados'!A967,'Base de Dados'!E967=Agendamento!$C$7),"x",""))))</f>
        <v/>
      </c>
      <c r="I967" s="13" t="str">
        <f>IF(H967="x",COUNT($I$1:I966)+1,"")</f>
        <v/>
      </c>
    </row>
    <row r="968" spans="1:9" x14ac:dyDescent="0.25">
      <c r="A968" s="27"/>
      <c r="B968" s="28"/>
      <c r="C968" s="29"/>
      <c r="D968" s="29"/>
      <c r="E968" s="28"/>
      <c r="F968" s="13" t="str">
        <f>IF(A968="","",IF(A968=Agendamento!$C$3,"x",""))</f>
        <v/>
      </c>
      <c r="G968" s="13" t="str">
        <f>IF(A968="","",IF(E968=Agendamento!$C$7,"x",""))</f>
        <v/>
      </c>
      <c r="H968" s="13" t="str">
        <f>IF(A968="","",IF(AND(Agendamento!$C$3="",Agendamento!$C$7&lt;&gt;""),IF(Agendamento!$C$7='Base de Dados'!E968,"x",""),IF(AND(Agendamento!$C$3&lt;&gt;"",Agendamento!$C$7=""),IF(Agendamento!$C$3='Base de Dados'!A968,"x",""),IF(AND(Agendamento!$C$3='Base de Dados'!A968,'Base de Dados'!E968=Agendamento!$C$7),"x",""))))</f>
        <v/>
      </c>
      <c r="I968" s="13" t="str">
        <f>IF(H968="x",COUNT($I$1:I967)+1,"")</f>
        <v/>
      </c>
    </row>
    <row r="969" spans="1:9" x14ac:dyDescent="0.25">
      <c r="A969" s="27"/>
      <c r="B969" s="28"/>
      <c r="C969" s="29"/>
      <c r="D969" s="29"/>
      <c r="E969" s="28"/>
      <c r="F969" s="13" t="str">
        <f>IF(A969="","",IF(A969=Agendamento!$C$3,"x",""))</f>
        <v/>
      </c>
      <c r="G969" s="13" t="str">
        <f>IF(A969="","",IF(E969=Agendamento!$C$7,"x",""))</f>
        <v/>
      </c>
      <c r="H969" s="13" t="str">
        <f>IF(A969="","",IF(AND(Agendamento!$C$3="",Agendamento!$C$7&lt;&gt;""),IF(Agendamento!$C$7='Base de Dados'!E969,"x",""),IF(AND(Agendamento!$C$3&lt;&gt;"",Agendamento!$C$7=""),IF(Agendamento!$C$3='Base de Dados'!A969,"x",""),IF(AND(Agendamento!$C$3='Base de Dados'!A969,'Base de Dados'!E969=Agendamento!$C$7),"x",""))))</f>
        <v/>
      </c>
      <c r="I969" s="13" t="str">
        <f>IF(H969="x",COUNT($I$1:I968)+1,"")</f>
        <v/>
      </c>
    </row>
    <row r="970" spans="1:9" x14ac:dyDescent="0.25">
      <c r="A970" s="27"/>
      <c r="B970" s="28"/>
      <c r="C970" s="29"/>
      <c r="D970" s="29"/>
      <c r="E970" s="28"/>
      <c r="F970" s="13" t="str">
        <f>IF(A970="","",IF(A970=Agendamento!$C$3,"x",""))</f>
        <v/>
      </c>
      <c r="G970" s="13" t="str">
        <f>IF(A970="","",IF(E970=Agendamento!$C$7,"x",""))</f>
        <v/>
      </c>
      <c r="H970" s="13" t="str">
        <f>IF(A970="","",IF(AND(Agendamento!$C$3="",Agendamento!$C$7&lt;&gt;""),IF(Agendamento!$C$7='Base de Dados'!E970,"x",""),IF(AND(Agendamento!$C$3&lt;&gt;"",Agendamento!$C$7=""),IF(Agendamento!$C$3='Base de Dados'!A970,"x",""),IF(AND(Agendamento!$C$3='Base de Dados'!A970,'Base de Dados'!E970=Agendamento!$C$7),"x",""))))</f>
        <v/>
      </c>
      <c r="I970" s="13" t="str">
        <f>IF(H970="x",COUNT($I$1:I969)+1,"")</f>
        <v/>
      </c>
    </row>
    <row r="971" spans="1:9" x14ac:dyDescent="0.25">
      <c r="A971" s="27"/>
      <c r="B971" s="28"/>
      <c r="C971" s="29"/>
      <c r="D971" s="29"/>
      <c r="E971" s="28"/>
      <c r="F971" s="13" t="str">
        <f>IF(A971="","",IF(A971=Agendamento!$C$3,"x",""))</f>
        <v/>
      </c>
      <c r="G971" s="13" t="str">
        <f>IF(A971="","",IF(E971=Agendamento!$C$7,"x",""))</f>
        <v/>
      </c>
      <c r="H971" s="13" t="str">
        <f>IF(A971="","",IF(AND(Agendamento!$C$3="",Agendamento!$C$7&lt;&gt;""),IF(Agendamento!$C$7='Base de Dados'!E971,"x",""),IF(AND(Agendamento!$C$3&lt;&gt;"",Agendamento!$C$7=""),IF(Agendamento!$C$3='Base de Dados'!A971,"x",""),IF(AND(Agendamento!$C$3='Base de Dados'!A971,'Base de Dados'!E971=Agendamento!$C$7),"x",""))))</f>
        <v/>
      </c>
      <c r="I971" s="13" t="str">
        <f>IF(H971="x",COUNT($I$1:I970)+1,"")</f>
        <v/>
      </c>
    </row>
    <row r="972" spans="1:9" x14ac:dyDescent="0.25">
      <c r="A972" s="27"/>
      <c r="B972" s="28"/>
      <c r="C972" s="29"/>
      <c r="D972" s="29"/>
      <c r="E972" s="28"/>
      <c r="F972" s="13" t="str">
        <f>IF(A972="","",IF(A972=Agendamento!$C$3,"x",""))</f>
        <v/>
      </c>
      <c r="G972" s="13" t="str">
        <f>IF(A972="","",IF(E972=Agendamento!$C$7,"x",""))</f>
        <v/>
      </c>
      <c r="H972" s="13" t="str">
        <f>IF(A972="","",IF(AND(Agendamento!$C$3="",Agendamento!$C$7&lt;&gt;""),IF(Agendamento!$C$7='Base de Dados'!E972,"x",""),IF(AND(Agendamento!$C$3&lt;&gt;"",Agendamento!$C$7=""),IF(Agendamento!$C$3='Base de Dados'!A972,"x",""),IF(AND(Agendamento!$C$3='Base de Dados'!A972,'Base de Dados'!E972=Agendamento!$C$7),"x",""))))</f>
        <v/>
      </c>
      <c r="I972" s="13" t="str">
        <f>IF(H972="x",COUNT($I$1:I971)+1,"")</f>
        <v/>
      </c>
    </row>
    <row r="973" spans="1:9" x14ac:dyDescent="0.25">
      <c r="A973" s="27"/>
      <c r="B973" s="28"/>
      <c r="C973" s="29"/>
      <c r="D973" s="29"/>
      <c r="E973" s="28"/>
      <c r="F973" s="13" t="str">
        <f>IF(A973="","",IF(A973=Agendamento!$C$3,"x",""))</f>
        <v/>
      </c>
      <c r="G973" s="13" t="str">
        <f>IF(A973="","",IF(E973=Agendamento!$C$7,"x",""))</f>
        <v/>
      </c>
      <c r="H973" s="13" t="str">
        <f>IF(A973="","",IF(AND(Agendamento!$C$3="",Agendamento!$C$7&lt;&gt;""),IF(Agendamento!$C$7='Base de Dados'!E973,"x",""),IF(AND(Agendamento!$C$3&lt;&gt;"",Agendamento!$C$7=""),IF(Agendamento!$C$3='Base de Dados'!A973,"x",""),IF(AND(Agendamento!$C$3='Base de Dados'!A973,'Base de Dados'!E973=Agendamento!$C$7),"x",""))))</f>
        <v/>
      </c>
      <c r="I973" s="13" t="str">
        <f>IF(H973="x",COUNT($I$1:I972)+1,"")</f>
        <v/>
      </c>
    </row>
    <row r="974" spans="1:9" x14ac:dyDescent="0.25">
      <c r="A974" s="27"/>
      <c r="B974" s="28"/>
      <c r="C974" s="29"/>
      <c r="D974" s="29"/>
      <c r="E974" s="28"/>
      <c r="F974" s="13" t="str">
        <f>IF(A974="","",IF(A974=Agendamento!$C$3,"x",""))</f>
        <v/>
      </c>
      <c r="G974" s="13" t="str">
        <f>IF(A974="","",IF(E974=Agendamento!$C$7,"x",""))</f>
        <v/>
      </c>
      <c r="H974" s="13" t="str">
        <f>IF(A974="","",IF(AND(Agendamento!$C$3="",Agendamento!$C$7&lt;&gt;""),IF(Agendamento!$C$7='Base de Dados'!E974,"x",""),IF(AND(Agendamento!$C$3&lt;&gt;"",Agendamento!$C$7=""),IF(Agendamento!$C$3='Base de Dados'!A974,"x",""),IF(AND(Agendamento!$C$3='Base de Dados'!A974,'Base de Dados'!E974=Agendamento!$C$7),"x",""))))</f>
        <v/>
      </c>
      <c r="I974" s="13" t="str">
        <f>IF(H974="x",COUNT($I$1:I973)+1,"")</f>
        <v/>
      </c>
    </row>
    <row r="975" spans="1:9" x14ac:dyDescent="0.25">
      <c r="A975" s="27"/>
      <c r="B975" s="28"/>
      <c r="C975" s="29"/>
      <c r="D975" s="29"/>
      <c r="E975" s="28"/>
      <c r="F975" s="13" t="str">
        <f>IF(A975="","",IF(A975=Agendamento!$C$3,"x",""))</f>
        <v/>
      </c>
      <c r="G975" s="13" t="str">
        <f>IF(A975="","",IF(E975=Agendamento!$C$7,"x",""))</f>
        <v/>
      </c>
      <c r="H975" s="13" t="str">
        <f>IF(A975="","",IF(AND(Agendamento!$C$3="",Agendamento!$C$7&lt;&gt;""),IF(Agendamento!$C$7='Base de Dados'!E975,"x",""),IF(AND(Agendamento!$C$3&lt;&gt;"",Agendamento!$C$7=""),IF(Agendamento!$C$3='Base de Dados'!A975,"x",""),IF(AND(Agendamento!$C$3='Base de Dados'!A975,'Base de Dados'!E975=Agendamento!$C$7),"x",""))))</f>
        <v/>
      </c>
      <c r="I975" s="13" t="str">
        <f>IF(H975="x",COUNT($I$1:I974)+1,"")</f>
        <v/>
      </c>
    </row>
    <row r="976" spans="1:9" x14ac:dyDescent="0.25">
      <c r="A976" s="27"/>
      <c r="B976" s="28"/>
      <c r="C976" s="29"/>
      <c r="D976" s="29"/>
      <c r="E976" s="28"/>
      <c r="F976" s="13" t="str">
        <f>IF(A976="","",IF(A976=Agendamento!$C$3,"x",""))</f>
        <v/>
      </c>
      <c r="G976" s="13" t="str">
        <f>IF(A976="","",IF(E976=Agendamento!$C$7,"x",""))</f>
        <v/>
      </c>
      <c r="H976" s="13" t="str">
        <f>IF(A976="","",IF(AND(Agendamento!$C$3="",Agendamento!$C$7&lt;&gt;""),IF(Agendamento!$C$7='Base de Dados'!E976,"x",""),IF(AND(Agendamento!$C$3&lt;&gt;"",Agendamento!$C$7=""),IF(Agendamento!$C$3='Base de Dados'!A976,"x",""),IF(AND(Agendamento!$C$3='Base de Dados'!A976,'Base de Dados'!E976=Agendamento!$C$7),"x",""))))</f>
        <v/>
      </c>
      <c r="I976" s="13" t="str">
        <f>IF(H976="x",COUNT($I$1:I975)+1,"")</f>
        <v/>
      </c>
    </row>
    <row r="977" spans="1:9" x14ac:dyDescent="0.25">
      <c r="A977" s="27"/>
      <c r="B977" s="28"/>
      <c r="C977" s="29"/>
      <c r="D977" s="29"/>
      <c r="E977" s="28"/>
      <c r="F977" s="13" t="str">
        <f>IF(A977="","",IF(A977=Agendamento!$C$3,"x",""))</f>
        <v/>
      </c>
      <c r="G977" s="13" t="str">
        <f>IF(A977="","",IF(E977=Agendamento!$C$7,"x",""))</f>
        <v/>
      </c>
      <c r="H977" s="13" t="str">
        <f>IF(A977="","",IF(AND(Agendamento!$C$3="",Agendamento!$C$7&lt;&gt;""),IF(Agendamento!$C$7='Base de Dados'!E977,"x",""),IF(AND(Agendamento!$C$3&lt;&gt;"",Agendamento!$C$7=""),IF(Agendamento!$C$3='Base de Dados'!A977,"x",""),IF(AND(Agendamento!$C$3='Base de Dados'!A977,'Base de Dados'!E977=Agendamento!$C$7),"x",""))))</f>
        <v/>
      </c>
      <c r="I977" s="13" t="str">
        <f>IF(H977="x",COUNT($I$1:I976)+1,"")</f>
        <v/>
      </c>
    </row>
    <row r="978" spans="1:9" x14ac:dyDescent="0.25">
      <c r="A978" s="27"/>
      <c r="B978" s="28"/>
      <c r="C978" s="29"/>
      <c r="D978" s="29"/>
      <c r="E978" s="28"/>
      <c r="F978" s="13" t="str">
        <f>IF(A978="","",IF(A978=Agendamento!$C$3,"x",""))</f>
        <v/>
      </c>
      <c r="G978" s="13" t="str">
        <f>IF(A978="","",IF(E978=Agendamento!$C$7,"x",""))</f>
        <v/>
      </c>
      <c r="H978" s="13" t="str">
        <f>IF(A978="","",IF(AND(Agendamento!$C$3="",Agendamento!$C$7&lt;&gt;""),IF(Agendamento!$C$7='Base de Dados'!E978,"x",""),IF(AND(Agendamento!$C$3&lt;&gt;"",Agendamento!$C$7=""),IF(Agendamento!$C$3='Base de Dados'!A978,"x",""),IF(AND(Agendamento!$C$3='Base de Dados'!A978,'Base de Dados'!E978=Agendamento!$C$7),"x",""))))</f>
        <v/>
      </c>
      <c r="I978" s="13" t="str">
        <f>IF(H978="x",COUNT($I$1:I977)+1,"")</f>
        <v/>
      </c>
    </row>
    <row r="979" spans="1:9" x14ac:dyDescent="0.25">
      <c r="A979" s="27"/>
      <c r="B979" s="28"/>
      <c r="C979" s="29"/>
      <c r="D979" s="29"/>
      <c r="E979" s="28"/>
      <c r="F979" s="13" t="str">
        <f>IF(A979="","",IF(A979=Agendamento!$C$3,"x",""))</f>
        <v/>
      </c>
      <c r="G979" s="13" t="str">
        <f>IF(A979="","",IF(E979=Agendamento!$C$7,"x",""))</f>
        <v/>
      </c>
      <c r="H979" s="13" t="str">
        <f>IF(A979="","",IF(AND(Agendamento!$C$3="",Agendamento!$C$7&lt;&gt;""),IF(Agendamento!$C$7='Base de Dados'!E979,"x",""),IF(AND(Agendamento!$C$3&lt;&gt;"",Agendamento!$C$7=""),IF(Agendamento!$C$3='Base de Dados'!A979,"x",""),IF(AND(Agendamento!$C$3='Base de Dados'!A979,'Base de Dados'!E979=Agendamento!$C$7),"x",""))))</f>
        <v/>
      </c>
      <c r="I979" s="13" t="str">
        <f>IF(H979="x",COUNT($I$1:I978)+1,"")</f>
        <v/>
      </c>
    </row>
    <row r="980" spans="1:9" x14ac:dyDescent="0.25">
      <c r="A980" s="27"/>
      <c r="B980" s="28"/>
      <c r="C980" s="29"/>
      <c r="D980" s="29"/>
      <c r="E980" s="28"/>
      <c r="F980" s="13" t="str">
        <f>IF(A980="","",IF(A980=Agendamento!$C$3,"x",""))</f>
        <v/>
      </c>
      <c r="G980" s="13" t="str">
        <f>IF(A980="","",IF(E980=Agendamento!$C$7,"x",""))</f>
        <v/>
      </c>
      <c r="H980" s="13" t="str">
        <f>IF(A980="","",IF(AND(Agendamento!$C$3="",Agendamento!$C$7&lt;&gt;""),IF(Agendamento!$C$7='Base de Dados'!E980,"x",""),IF(AND(Agendamento!$C$3&lt;&gt;"",Agendamento!$C$7=""),IF(Agendamento!$C$3='Base de Dados'!A980,"x",""),IF(AND(Agendamento!$C$3='Base de Dados'!A980,'Base de Dados'!E980=Agendamento!$C$7),"x",""))))</f>
        <v/>
      </c>
      <c r="I980" s="13" t="str">
        <f>IF(H980="x",COUNT($I$1:I979)+1,"")</f>
        <v/>
      </c>
    </row>
    <row r="981" spans="1:9" x14ac:dyDescent="0.25">
      <c r="A981" s="27"/>
      <c r="B981" s="28"/>
      <c r="C981" s="29"/>
      <c r="D981" s="29"/>
      <c r="E981" s="28"/>
      <c r="F981" s="13" t="str">
        <f>IF(A981="","",IF(A981=Agendamento!$C$3,"x",""))</f>
        <v/>
      </c>
      <c r="G981" s="13" t="str">
        <f>IF(A981="","",IF(E981=Agendamento!$C$7,"x",""))</f>
        <v/>
      </c>
      <c r="H981" s="13" t="str">
        <f>IF(A981="","",IF(AND(Agendamento!$C$3="",Agendamento!$C$7&lt;&gt;""),IF(Agendamento!$C$7='Base de Dados'!E981,"x",""),IF(AND(Agendamento!$C$3&lt;&gt;"",Agendamento!$C$7=""),IF(Agendamento!$C$3='Base de Dados'!A981,"x",""),IF(AND(Agendamento!$C$3='Base de Dados'!A981,'Base de Dados'!E981=Agendamento!$C$7),"x",""))))</f>
        <v/>
      </c>
      <c r="I981" s="13" t="str">
        <f>IF(H981="x",COUNT($I$1:I980)+1,"")</f>
        <v/>
      </c>
    </row>
    <row r="982" spans="1:9" x14ac:dyDescent="0.25">
      <c r="A982" s="27"/>
      <c r="B982" s="28"/>
      <c r="C982" s="29"/>
      <c r="D982" s="29"/>
      <c r="E982" s="28"/>
      <c r="F982" s="13" t="str">
        <f>IF(A982="","",IF(A982=Agendamento!$C$3,"x",""))</f>
        <v/>
      </c>
      <c r="G982" s="13" t="str">
        <f>IF(A982="","",IF(E982=Agendamento!$C$7,"x",""))</f>
        <v/>
      </c>
      <c r="H982" s="13" t="str">
        <f>IF(A982="","",IF(AND(Agendamento!$C$3="",Agendamento!$C$7&lt;&gt;""),IF(Agendamento!$C$7='Base de Dados'!E982,"x",""),IF(AND(Agendamento!$C$3&lt;&gt;"",Agendamento!$C$7=""),IF(Agendamento!$C$3='Base de Dados'!A982,"x",""),IF(AND(Agendamento!$C$3='Base de Dados'!A982,'Base de Dados'!E982=Agendamento!$C$7),"x",""))))</f>
        <v/>
      </c>
      <c r="I982" s="13" t="str">
        <f>IF(H982="x",COUNT($I$1:I981)+1,"")</f>
        <v/>
      </c>
    </row>
    <row r="983" spans="1:9" x14ac:dyDescent="0.25">
      <c r="A983" s="27"/>
      <c r="B983" s="28"/>
      <c r="C983" s="29"/>
      <c r="D983" s="29"/>
      <c r="E983" s="28"/>
      <c r="F983" s="13" t="str">
        <f>IF(A983="","",IF(A983=Agendamento!$C$3,"x",""))</f>
        <v/>
      </c>
      <c r="G983" s="13" t="str">
        <f>IF(A983="","",IF(E983=Agendamento!$C$7,"x",""))</f>
        <v/>
      </c>
      <c r="H983" s="13" t="str">
        <f>IF(A983="","",IF(AND(Agendamento!$C$3="",Agendamento!$C$7&lt;&gt;""),IF(Agendamento!$C$7='Base de Dados'!E983,"x",""),IF(AND(Agendamento!$C$3&lt;&gt;"",Agendamento!$C$7=""),IF(Agendamento!$C$3='Base de Dados'!A983,"x",""),IF(AND(Agendamento!$C$3='Base de Dados'!A983,'Base de Dados'!E983=Agendamento!$C$7),"x",""))))</f>
        <v/>
      </c>
      <c r="I983" s="13" t="str">
        <f>IF(H983="x",COUNT($I$1:I982)+1,"")</f>
        <v/>
      </c>
    </row>
    <row r="984" spans="1:9" x14ac:dyDescent="0.25">
      <c r="A984" s="27"/>
      <c r="B984" s="28"/>
      <c r="C984" s="29"/>
      <c r="D984" s="29"/>
      <c r="E984" s="28"/>
      <c r="F984" s="13" t="str">
        <f>IF(A984="","",IF(A984=Agendamento!$C$3,"x",""))</f>
        <v/>
      </c>
      <c r="G984" s="13" t="str">
        <f>IF(A984="","",IF(E984=Agendamento!$C$7,"x",""))</f>
        <v/>
      </c>
      <c r="H984" s="13" t="str">
        <f>IF(A984="","",IF(AND(Agendamento!$C$3="",Agendamento!$C$7&lt;&gt;""),IF(Agendamento!$C$7='Base de Dados'!E984,"x",""),IF(AND(Agendamento!$C$3&lt;&gt;"",Agendamento!$C$7=""),IF(Agendamento!$C$3='Base de Dados'!A984,"x",""),IF(AND(Agendamento!$C$3='Base de Dados'!A984,'Base de Dados'!E984=Agendamento!$C$7),"x",""))))</f>
        <v/>
      </c>
      <c r="I984" s="13" t="str">
        <f>IF(H984="x",COUNT($I$1:I983)+1,"")</f>
        <v/>
      </c>
    </row>
    <row r="985" spans="1:9" x14ac:dyDescent="0.25">
      <c r="A985" s="27"/>
      <c r="B985" s="28"/>
      <c r="C985" s="29"/>
      <c r="D985" s="29"/>
      <c r="E985" s="28"/>
      <c r="F985" s="13" t="str">
        <f>IF(A985="","",IF(A985=Agendamento!$C$3,"x",""))</f>
        <v/>
      </c>
      <c r="G985" s="13" t="str">
        <f>IF(A985="","",IF(E985=Agendamento!$C$7,"x",""))</f>
        <v/>
      </c>
      <c r="H985" s="13" t="str">
        <f>IF(A985="","",IF(AND(Agendamento!$C$3="",Agendamento!$C$7&lt;&gt;""),IF(Agendamento!$C$7='Base de Dados'!E985,"x",""),IF(AND(Agendamento!$C$3&lt;&gt;"",Agendamento!$C$7=""),IF(Agendamento!$C$3='Base de Dados'!A985,"x",""),IF(AND(Agendamento!$C$3='Base de Dados'!A985,'Base de Dados'!E985=Agendamento!$C$7),"x",""))))</f>
        <v/>
      </c>
      <c r="I985" s="13" t="str">
        <f>IF(H985="x",COUNT($I$1:I984)+1,"")</f>
        <v/>
      </c>
    </row>
    <row r="986" spans="1:9" x14ac:dyDescent="0.25">
      <c r="A986" s="27"/>
      <c r="B986" s="28"/>
      <c r="C986" s="29"/>
      <c r="D986" s="29"/>
      <c r="E986" s="28"/>
      <c r="F986" s="13" t="str">
        <f>IF(A986="","",IF(A986=Agendamento!$C$3,"x",""))</f>
        <v/>
      </c>
      <c r="G986" s="13" t="str">
        <f>IF(A986="","",IF(E986=Agendamento!$C$7,"x",""))</f>
        <v/>
      </c>
      <c r="H986" s="13" t="str">
        <f>IF(A986="","",IF(AND(Agendamento!$C$3="",Agendamento!$C$7&lt;&gt;""),IF(Agendamento!$C$7='Base de Dados'!E986,"x",""),IF(AND(Agendamento!$C$3&lt;&gt;"",Agendamento!$C$7=""),IF(Agendamento!$C$3='Base de Dados'!A986,"x",""),IF(AND(Agendamento!$C$3='Base de Dados'!A986,'Base de Dados'!E986=Agendamento!$C$7),"x",""))))</f>
        <v/>
      </c>
      <c r="I986" s="13" t="str">
        <f>IF(H986="x",COUNT($I$1:I985)+1,"")</f>
        <v/>
      </c>
    </row>
    <row r="987" spans="1:9" x14ac:dyDescent="0.25">
      <c r="A987" s="27"/>
      <c r="B987" s="28"/>
      <c r="C987" s="29"/>
      <c r="D987" s="29"/>
      <c r="E987" s="28"/>
      <c r="F987" s="13" t="str">
        <f>IF(A987="","",IF(A987=Agendamento!$C$3,"x",""))</f>
        <v/>
      </c>
      <c r="G987" s="13" t="str">
        <f>IF(A987="","",IF(E987=Agendamento!$C$7,"x",""))</f>
        <v/>
      </c>
      <c r="H987" s="13" t="str">
        <f>IF(A987="","",IF(AND(Agendamento!$C$3="",Agendamento!$C$7&lt;&gt;""),IF(Agendamento!$C$7='Base de Dados'!E987,"x",""),IF(AND(Agendamento!$C$3&lt;&gt;"",Agendamento!$C$7=""),IF(Agendamento!$C$3='Base de Dados'!A987,"x",""),IF(AND(Agendamento!$C$3='Base de Dados'!A987,'Base de Dados'!E987=Agendamento!$C$7),"x",""))))</f>
        <v/>
      </c>
      <c r="I987" s="13" t="str">
        <f>IF(H987="x",COUNT($I$1:I986)+1,"")</f>
        <v/>
      </c>
    </row>
    <row r="988" spans="1:9" x14ac:dyDescent="0.25">
      <c r="A988" s="27"/>
      <c r="B988" s="28"/>
      <c r="C988" s="29"/>
      <c r="D988" s="29"/>
      <c r="E988" s="28"/>
      <c r="F988" s="13" t="str">
        <f>IF(A988="","",IF(A988=Agendamento!$C$3,"x",""))</f>
        <v/>
      </c>
      <c r="G988" s="13" t="str">
        <f>IF(A988="","",IF(E988=Agendamento!$C$7,"x",""))</f>
        <v/>
      </c>
      <c r="H988" s="13" t="str">
        <f>IF(A988="","",IF(AND(Agendamento!$C$3="",Agendamento!$C$7&lt;&gt;""),IF(Agendamento!$C$7='Base de Dados'!E988,"x",""),IF(AND(Agendamento!$C$3&lt;&gt;"",Agendamento!$C$7=""),IF(Agendamento!$C$3='Base de Dados'!A988,"x",""),IF(AND(Agendamento!$C$3='Base de Dados'!A988,'Base de Dados'!E988=Agendamento!$C$7),"x",""))))</f>
        <v/>
      </c>
      <c r="I988" s="13" t="str">
        <f>IF(H988="x",COUNT($I$1:I987)+1,"")</f>
        <v/>
      </c>
    </row>
    <row r="989" spans="1:9" x14ac:dyDescent="0.25">
      <c r="A989" s="27"/>
      <c r="B989" s="28"/>
      <c r="C989" s="29"/>
      <c r="D989" s="29"/>
      <c r="E989" s="28"/>
      <c r="F989" s="13" t="str">
        <f>IF(A989="","",IF(A989=Agendamento!$C$3,"x",""))</f>
        <v/>
      </c>
      <c r="G989" s="13" t="str">
        <f>IF(A989="","",IF(E989=Agendamento!$C$7,"x",""))</f>
        <v/>
      </c>
      <c r="H989" s="13" t="str">
        <f>IF(A989="","",IF(AND(Agendamento!$C$3="",Agendamento!$C$7&lt;&gt;""),IF(Agendamento!$C$7='Base de Dados'!E989,"x",""),IF(AND(Agendamento!$C$3&lt;&gt;"",Agendamento!$C$7=""),IF(Agendamento!$C$3='Base de Dados'!A989,"x",""),IF(AND(Agendamento!$C$3='Base de Dados'!A989,'Base de Dados'!E989=Agendamento!$C$7),"x",""))))</f>
        <v/>
      </c>
      <c r="I989" s="13" t="str">
        <f>IF(H989="x",COUNT($I$1:I988)+1,"")</f>
        <v/>
      </c>
    </row>
    <row r="990" spans="1:9" x14ac:dyDescent="0.25">
      <c r="A990" s="27"/>
      <c r="B990" s="28"/>
      <c r="C990" s="29"/>
      <c r="D990" s="29"/>
      <c r="E990" s="28"/>
      <c r="F990" s="13" t="str">
        <f>IF(A990="","",IF(A990=Agendamento!$C$3,"x",""))</f>
        <v/>
      </c>
      <c r="G990" s="13" t="str">
        <f>IF(A990="","",IF(E990=Agendamento!$C$7,"x",""))</f>
        <v/>
      </c>
      <c r="H990" s="13" t="str">
        <f>IF(A990="","",IF(AND(Agendamento!$C$3="",Agendamento!$C$7&lt;&gt;""),IF(Agendamento!$C$7='Base de Dados'!E990,"x",""),IF(AND(Agendamento!$C$3&lt;&gt;"",Agendamento!$C$7=""),IF(Agendamento!$C$3='Base de Dados'!A990,"x",""),IF(AND(Agendamento!$C$3='Base de Dados'!A990,'Base de Dados'!E990=Agendamento!$C$7),"x",""))))</f>
        <v/>
      </c>
      <c r="I990" s="13" t="str">
        <f>IF(H990="x",COUNT($I$1:I989)+1,"")</f>
        <v/>
      </c>
    </row>
    <row r="991" spans="1:9" x14ac:dyDescent="0.25">
      <c r="A991" s="27"/>
      <c r="B991" s="28"/>
      <c r="C991" s="29"/>
      <c r="D991" s="29"/>
      <c r="E991" s="28"/>
      <c r="F991" s="13" t="str">
        <f>IF(A991="","",IF(A991=Agendamento!$C$3,"x",""))</f>
        <v/>
      </c>
      <c r="G991" s="13" t="str">
        <f>IF(A991="","",IF(E991=Agendamento!$C$7,"x",""))</f>
        <v/>
      </c>
      <c r="H991" s="13" t="str">
        <f>IF(A991="","",IF(AND(Agendamento!$C$3="",Agendamento!$C$7&lt;&gt;""),IF(Agendamento!$C$7='Base de Dados'!E991,"x",""),IF(AND(Agendamento!$C$3&lt;&gt;"",Agendamento!$C$7=""),IF(Agendamento!$C$3='Base de Dados'!A991,"x",""),IF(AND(Agendamento!$C$3='Base de Dados'!A991,'Base de Dados'!E991=Agendamento!$C$7),"x",""))))</f>
        <v/>
      </c>
      <c r="I991" s="13" t="str">
        <f>IF(H991="x",COUNT($I$1:I990)+1,"")</f>
        <v/>
      </c>
    </row>
    <row r="992" spans="1:9" x14ac:dyDescent="0.25">
      <c r="A992" s="27"/>
      <c r="B992" s="28"/>
      <c r="C992" s="29"/>
      <c r="D992" s="29"/>
      <c r="E992" s="28"/>
      <c r="F992" s="13" t="str">
        <f>IF(A992="","",IF(A992=Agendamento!$C$3,"x",""))</f>
        <v/>
      </c>
      <c r="G992" s="13" t="str">
        <f>IF(A992="","",IF(E992=Agendamento!$C$7,"x",""))</f>
        <v/>
      </c>
      <c r="H992" s="13" t="str">
        <f>IF(A992="","",IF(AND(Agendamento!$C$3="",Agendamento!$C$7&lt;&gt;""),IF(Agendamento!$C$7='Base de Dados'!E992,"x",""),IF(AND(Agendamento!$C$3&lt;&gt;"",Agendamento!$C$7=""),IF(Agendamento!$C$3='Base de Dados'!A992,"x",""),IF(AND(Agendamento!$C$3='Base de Dados'!A992,'Base de Dados'!E992=Agendamento!$C$7),"x",""))))</f>
        <v/>
      </c>
      <c r="I992" s="13" t="str">
        <f>IF(H992="x",COUNT($I$1:I991)+1,"")</f>
        <v/>
      </c>
    </row>
    <row r="993" spans="1:9" x14ac:dyDescent="0.25">
      <c r="A993" s="27"/>
      <c r="B993" s="28"/>
      <c r="C993" s="29"/>
      <c r="D993" s="29"/>
      <c r="E993" s="28"/>
      <c r="F993" s="13" t="str">
        <f>IF(A993="","",IF(A993=Agendamento!$C$3,"x",""))</f>
        <v/>
      </c>
      <c r="G993" s="13" t="str">
        <f>IF(A993="","",IF(E993=Agendamento!$C$7,"x",""))</f>
        <v/>
      </c>
      <c r="H993" s="13" t="str">
        <f>IF(A993="","",IF(AND(Agendamento!$C$3="",Agendamento!$C$7&lt;&gt;""),IF(Agendamento!$C$7='Base de Dados'!E993,"x",""),IF(AND(Agendamento!$C$3&lt;&gt;"",Agendamento!$C$7=""),IF(Agendamento!$C$3='Base de Dados'!A993,"x",""),IF(AND(Agendamento!$C$3='Base de Dados'!A993,'Base de Dados'!E993=Agendamento!$C$7),"x",""))))</f>
        <v/>
      </c>
      <c r="I993" s="13" t="str">
        <f>IF(H993="x",COUNT($I$1:I992)+1,"")</f>
        <v/>
      </c>
    </row>
    <row r="994" spans="1:9" x14ac:dyDescent="0.25">
      <c r="A994" s="27"/>
      <c r="B994" s="28"/>
      <c r="C994" s="29"/>
      <c r="D994" s="29"/>
      <c r="E994" s="28"/>
      <c r="F994" s="13" t="str">
        <f>IF(A994="","",IF(A994=Agendamento!$C$3,"x",""))</f>
        <v/>
      </c>
      <c r="G994" s="13" t="str">
        <f>IF(A994="","",IF(E994=Agendamento!$C$7,"x",""))</f>
        <v/>
      </c>
      <c r="H994" s="13" t="str">
        <f>IF(A994="","",IF(AND(Agendamento!$C$3="",Agendamento!$C$7&lt;&gt;""),IF(Agendamento!$C$7='Base de Dados'!E994,"x",""),IF(AND(Agendamento!$C$3&lt;&gt;"",Agendamento!$C$7=""),IF(Agendamento!$C$3='Base de Dados'!A994,"x",""),IF(AND(Agendamento!$C$3='Base de Dados'!A994,'Base de Dados'!E994=Agendamento!$C$7),"x",""))))</f>
        <v/>
      </c>
      <c r="I994" s="13" t="str">
        <f>IF(H994="x",COUNT($I$1:I993)+1,"")</f>
        <v/>
      </c>
    </row>
    <row r="995" spans="1:9" x14ac:dyDescent="0.25">
      <c r="A995" s="27"/>
      <c r="B995" s="28"/>
      <c r="C995" s="29"/>
      <c r="D995" s="29"/>
      <c r="E995" s="28"/>
      <c r="F995" s="13" t="str">
        <f>IF(A995="","",IF(A995=Agendamento!$C$3,"x",""))</f>
        <v/>
      </c>
      <c r="G995" s="13" t="str">
        <f>IF(A995="","",IF(E995=Agendamento!$C$7,"x",""))</f>
        <v/>
      </c>
      <c r="H995" s="13" t="str">
        <f>IF(A995="","",IF(AND(Agendamento!$C$3="",Agendamento!$C$7&lt;&gt;""),IF(Agendamento!$C$7='Base de Dados'!E995,"x",""),IF(AND(Agendamento!$C$3&lt;&gt;"",Agendamento!$C$7=""),IF(Agendamento!$C$3='Base de Dados'!A995,"x",""),IF(AND(Agendamento!$C$3='Base de Dados'!A995,'Base de Dados'!E995=Agendamento!$C$7),"x",""))))</f>
        <v/>
      </c>
      <c r="I995" s="13" t="str">
        <f>IF(H995="x",COUNT($I$1:I994)+1,"")</f>
        <v/>
      </c>
    </row>
    <row r="996" spans="1:9" x14ac:dyDescent="0.25">
      <c r="A996" s="27"/>
      <c r="B996" s="28"/>
      <c r="C996" s="29"/>
      <c r="D996" s="29"/>
      <c r="E996" s="28"/>
      <c r="F996" s="13" t="str">
        <f>IF(A996="","",IF(A996=Agendamento!$C$3,"x",""))</f>
        <v/>
      </c>
      <c r="G996" s="13" t="str">
        <f>IF(A996="","",IF(E996=Agendamento!$C$7,"x",""))</f>
        <v/>
      </c>
      <c r="H996" s="13" t="str">
        <f>IF(A996="","",IF(AND(Agendamento!$C$3="",Agendamento!$C$7&lt;&gt;""),IF(Agendamento!$C$7='Base de Dados'!E996,"x",""),IF(AND(Agendamento!$C$3&lt;&gt;"",Agendamento!$C$7=""),IF(Agendamento!$C$3='Base de Dados'!A996,"x",""),IF(AND(Agendamento!$C$3='Base de Dados'!A996,'Base de Dados'!E996=Agendamento!$C$7),"x",""))))</f>
        <v/>
      </c>
      <c r="I996" s="13" t="str">
        <f>IF(H996="x",COUNT($I$1:I995)+1,"")</f>
        <v/>
      </c>
    </row>
    <row r="997" spans="1:9" x14ac:dyDescent="0.25">
      <c r="A997" s="27"/>
      <c r="B997" s="28"/>
      <c r="C997" s="29"/>
      <c r="D997" s="29"/>
      <c r="E997" s="28"/>
      <c r="F997" s="13" t="str">
        <f>IF(A997="","",IF(A997=Agendamento!$C$3,"x",""))</f>
        <v/>
      </c>
      <c r="G997" s="13" t="str">
        <f>IF(A997="","",IF(E997=Agendamento!$C$7,"x",""))</f>
        <v/>
      </c>
      <c r="H997" s="13" t="str">
        <f>IF(A997="","",IF(AND(Agendamento!$C$3="",Agendamento!$C$7&lt;&gt;""),IF(Agendamento!$C$7='Base de Dados'!E997,"x",""),IF(AND(Agendamento!$C$3&lt;&gt;"",Agendamento!$C$7=""),IF(Agendamento!$C$3='Base de Dados'!A997,"x",""),IF(AND(Agendamento!$C$3='Base de Dados'!A997,'Base de Dados'!E997=Agendamento!$C$7),"x",""))))</f>
        <v/>
      </c>
      <c r="I997" s="13" t="str">
        <f>IF(H997="x",COUNT($I$1:I996)+1,"")</f>
        <v/>
      </c>
    </row>
    <row r="998" spans="1:9" x14ac:dyDescent="0.25">
      <c r="A998" s="27"/>
      <c r="B998" s="28"/>
      <c r="C998" s="29"/>
      <c r="D998" s="29"/>
      <c r="E998" s="28"/>
      <c r="F998" s="13" t="str">
        <f>IF(A998="","",IF(A998=Agendamento!$C$3,"x",""))</f>
        <v/>
      </c>
      <c r="G998" s="13" t="str">
        <f>IF(A998="","",IF(E998=Agendamento!$C$7,"x",""))</f>
        <v/>
      </c>
      <c r="H998" s="13" t="str">
        <f>IF(A998="","",IF(AND(Agendamento!$C$3="",Agendamento!$C$7&lt;&gt;""),IF(Agendamento!$C$7='Base de Dados'!E998,"x",""),IF(AND(Agendamento!$C$3&lt;&gt;"",Agendamento!$C$7=""),IF(Agendamento!$C$3='Base de Dados'!A998,"x",""),IF(AND(Agendamento!$C$3='Base de Dados'!A998,'Base de Dados'!E998=Agendamento!$C$7),"x",""))))</f>
        <v/>
      </c>
      <c r="I998" s="13" t="str">
        <f>IF(H998="x",COUNT($I$1:I997)+1,"")</f>
        <v/>
      </c>
    </row>
    <row r="999" spans="1:9" x14ac:dyDescent="0.25">
      <c r="A999" s="27"/>
      <c r="B999" s="28"/>
      <c r="C999" s="29"/>
      <c r="D999" s="29"/>
      <c r="E999" s="28"/>
      <c r="F999" s="13" t="str">
        <f>IF(A999="","",IF(A999=Agendamento!$C$3,"x",""))</f>
        <v/>
      </c>
      <c r="G999" s="13" t="str">
        <f>IF(A999="","",IF(E999=Agendamento!$C$7,"x",""))</f>
        <v/>
      </c>
      <c r="H999" s="13" t="str">
        <f>IF(A999="","",IF(AND(Agendamento!$C$3="",Agendamento!$C$7&lt;&gt;""),IF(Agendamento!$C$7='Base de Dados'!E999,"x",""),IF(AND(Agendamento!$C$3&lt;&gt;"",Agendamento!$C$7=""),IF(Agendamento!$C$3='Base de Dados'!A999,"x",""),IF(AND(Agendamento!$C$3='Base de Dados'!A999,'Base de Dados'!E999=Agendamento!$C$7),"x",""))))</f>
        <v/>
      </c>
      <c r="I999" s="13" t="str">
        <f>IF(H999="x",COUNT($I$1:I998)+1,"")</f>
        <v/>
      </c>
    </row>
    <row r="1000" spans="1:9" x14ac:dyDescent="0.25">
      <c r="A1000" s="27"/>
      <c r="B1000" s="28"/>
      <c r="C1000" s="29"/>
      <c r="D1000" s="29"/>
      <c r="E1000" s="28"/>
      <c r="F1000" s="13" t="str">
        <f>IF(A1000="","",IF(A1000=Agendamento!$C$3,"x",""))</f>
        <v/>
      </c>
      <c r="G1000" s="13" t="str">
        <f>IF(A1000="","",IF(E1000=Agendamento!$C$7,"x",""))</f>
        <v/>
      </c>
      <c r="H1000" s="13" t="str">
        <f>IF(A1000="","",IF(AND(Agendamento!$C$3="",Agendamento!$C$7&lt;&gt;""),IF(Agendamento!$C$7='Base de Dados'!E1000,"x",""),IF(AND(Agendamento!$C$3&lt;&gt;"",Agendamento!$C$7=""),IF(Agendamento!$C$3='Base de Dados'!A1000,"x",""),IF(AND(Agendamento!$C$3='Base de Dados'!A1000,'Base de Dados'!E1000=Agendamento!$C$7),"x",""))))</f>
        <v/>
      </c>
      <c r="I1000" s="13" t="str">
        <f>IF(H1000="x",COUNT($I$1:I999)+1,"")</f>
        <v/>
      </c>
    </row>
  </sheetData>
  <sheetProtection algorithmName="SHA-512" hashValue="u+LXZUX5GLzIYA2c4X2RYhWAEO9mYiGPt7tgYxj1d3JLTPbNmpwfbTHG9HVmtfLNwEDE1YDA1vseEU0te2I/AA==" saltValue="XtAwf66bR4U7Tt5h2ztkxQ==" spinCount="100000" sheet="1" objects="1" scenarios="1" selectLockedCells="1" selectUnlockedCells="1"/>
  <sortState xmlns:xlrd2="http://schemas.microsoft.com/office/spreadsheetml/2017/richdata2" ref="K2:K7">
    <sortCondition ref="K2:K7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Agendamento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 Olegario Alves Ferreira</dc:creator>
  <cp:lastModifiedBy>Renato Olegario Alves Ferreira</cp:lastModifiedBy>
  <dcterms:created xsi:type="dcterms:W3CDTF">2022-06-13T14:43:26Z</dcterms:created>
  <dcterms:modified xsi:type="dcterms:W3CDTF">2022-08-31T16:19:43Z</dcterms:modified>
</cp:coreProperties>
</file>