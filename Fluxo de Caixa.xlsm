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nat\Desktop\"/>
    </mc:Choice>
  </mc:AlternateContent>
  <xr:revisionPtr revIDLastSave="0" documentId="13_ncr:1_{EBC12E1F-09C8-4711-9007-B8CB3C31FB4D}" xr6:coauthVersionLast="47" xr6:coauthVersionMax="47" xr10:uidLastSave="{00000000-0000-0000-0000-000000000000}"/>
  <bookViews>
    <workbookView xWindow="20370" yWindow="-120" windowWidth="20730" windowHeight="11160" tabRatio="879" xr2:uid="{333D1602-9AF7-4F5C-9037-21B24BB1840A}"/>
  </bookViews>
  <sheets>
    <sheet name="Dashboard" sheetId="2" r:id="rId1"/>
    <sheet name="Cadastro Cliente" sheetId="3" r:id="rId2"/>
    <sheet name="Cadastro Fornecedor" sheetId="4" r:id="rId3"/>
    <sheet name="Cliente e Fornecedor" sheetId="5" r:id="rId4"/>
  </sheets>
  <definedNames>
    <definedName name="SegmentaçãodeDados_Ano">#N/A</definedName>
    <definedName name="SegmentaçãodeDados_Cliente___Fornecedor">#N/A</definedName>
    <definedName name="SegmentaçãodeDados_Mê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3" l="1"/>
  <c r="F9" i="3"/>
  <c r="F8" i="3"/>
  <c r="F7" i="3"/>
  <c r="F6" i="3"/>
  <c r="K8" i="2"/>
  <c r="J8" i="2"/>
  <c r="F6" i="2"/>
  <c r="C8" i="2" s="1"/>
  <c r="C9" i="2" s="1"/>
  <c r="F5" i="3"/>
  <c r="F4" i="3"/>
  <c r="F3" i="3"/>
  <c r="C6" i="2" l="1"/>
  <c r="C7" i="2"/>
</calcChain>
</file>

<file path=xl/sharedStrings.xml><?xml version="1.0" encoding="utf-8"?>
<sst xmlns="http://schemas.openxmlformats.org/spreadsheetml/2006/main" count="76" uniqueCount="51">
  <si>
    <t>OUTROS GASTO, TARIFA ALUGUEL ETC.</t>
  </si>
  <si>
    <t>Data</t>
  </si>
  <si>
    <t>Descrição</t>
  </si>
  <si>
    <t>Entrada/Saída</t>
  </si>
  <si>
    <t>Caixa</t>
  </si>
  <si>
    <t>Cliente / Fornecedor</t>
  </si>
  <si>
    <t>Valor</t>
  </si>
  <si>
    <t>Nome</t>
  </si>
  <si>
    <t xml:space="preserve">Valor </t>
  </si>
  <si>
    <t>Valor Extra</t>
  </si>
  <si>
    <t>Valor Total</t>
  </si>
  <si>
    <t>Cli | For</t>
  </si>
  <si>
    <t>Mês</t>
  </si>
  <si>
    <t>CLI</t>
  </si>
  <si>
    <t>União</t>
  </si>
  <si>
    <t>CLI - X</t>
  </si>
  <si>
    <t>FOR</t>
  </si>
  <si>
    <t>Caixa Inicio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</si>
  <si>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</si>
  <si>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</si>
  <si>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</si>
  <si>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</si>
  <si>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</si>
  <si>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</si>
  <si>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</si>
  <si>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</si>
  <si>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</si>
  <si>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</si>
  <si>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</si>
  <si>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</si>
  <si>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Ano</t>
  </si>
  <si>
    <t>Valores</t>
  </si>
  <si>
    <t>Caixa Acumulado</t>
  </si>
  <si>
    <t>Alziro</t>
  </si>
  <si>
    <t>CLI - Alziro</t>
  </si>
  <si>
    <t>Marcelo</t>
  </si>
  <si>
    <t>CLI - Marcelo</t>
  </si>
  <si>
    <t>Guerino</t>
  </si>
  <si>
    <t>CLI - Guerino</t>
  </si>
  <si>
    <t>PORTA+ cuba BANHEIRO</t>
  </si>
  <si>
    <t>Pardal</t>
  </si>
  <si>
    <t>CLI - Pardal</t>
  </si>
  <si>
    <t>Praça</t>
  </si>
  <si>
    <t>Belim</t>
  </si>
  <si>
    <t>CLI - Belim</t>
  </si>
  <si>
    <t>Felipe</t>
  </si>
  <si>
    <t>CLI - Felipe</t>
  </si>
  <si>
    <t>Tarifas da Empresa</t>
  </si>
  <si>
    <t>FOR - Tarifas da Empresa</t>
  </si>
  <si>
    <t>Divisão de caixa 1</t>
  </si>
  <si>
    <t>Divisão de caixa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</si>
</sst>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44" fontId="0" fillId="0" borderId="0" xfId="1" applyFont="1"/>
    <xf numFmtId="0" fontId="0" fillId="0" borderId="0" xfId="0" applyProtection="1"/>
    <xf numFmtId="0" fontId="0" fillId="0" borderId="0" xfId="0" applyProtection="1">
      <protection locked="0"/>
    </xf>
    <xf numFmtId="0" fontId="0" fillId="2" borderId="1" xfId="0" applyFill="1" applyBorder="1"/>
    <xf numFmtId="0" fontId="0" fillId="0" borderId="0" xfId="0" applyAlignment="1" applyProtection="1">
      <alignment horizontal="center" vertical="center"/>
    </xf>
    <xf numFmtId="44" fontId="0" fillId="0" borderId="0" xfId="1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44" fontId="0" fillId="0" borderId="0" xfId="1" applyFont="1" applyProtection="1">
      <protection locked="0"/>
    </xf>
    <xf numFmtId="14" fontId="0" fillId="0" borderId="0" xfId="0" applyNumberFormat="1" applyProtection="1">
      <protection locked="0"/>
    </xf>
    <xf numFmtId="0" fontId="0" fillId="2" borderId="1" xfId="0" applyFill="1" applyBorder="1" applyProtection="1"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Protection="1">
      <protection locked="0"/>
    </xf>
    <xf numFmtId="44" fontId="0" fillId="0" borderId="2" xfId="1" applyFont="1" applyBorder="1" applyProtection="1">
      <protection locked="0"/>
    </xf>
    <xf numFmtId="0" fontId="0" fillId="3" borderId="0" xfId="0" applyFill="1"/>
    <xf numFmtId="44" fontId="0" fillId="0" borderId="1" xfId="1" applyFont="1" applyBorder="1" applyProtection="1"/>
    <xf numFmtId="9" fontId="0" fillId="0" borderId="2" xfId="0" applyNumberFormat="1" applyBorder="1" applyProtection="1">
      <protection locked="0"/>
    </xf>
    <xf numFmtId="0" fontId="0" fillId="2" borderId="1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15">
    <dxf>
      <alignment horizontal="center" vertical="center" textRotation="0" wrapText="0" indent="0" justifyLastLine="0" shrinkToFit="0" readingOrder="0"/>
      <protection locked="1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Other1 2" pivot="0" table="0" count="10" xr9:uid="{6A44FBC4-20E7-4C9E-9E7B-3D349C921C59}">
      <tableStyleElement type="wholeTable" dxfId="14"/>
      <tableStyleElement type="headerRow" dxfId="13"/>
    </tableStyle>
  </tableStyles>
  <colors>
    <mruColors>
      <color rgb="FFFB5377"/>
      <color rgb="FFFF8585"/>
      <color rgb="FFFBB7CF"/>
      <color rgb="FFFF6D6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Other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333375</xdr:colOff>
      <xdr:row>0</xdr:row>
      <xdr:rowOff>57150</xdr:rowOff>
    </xdr:from>
    <xdr:to>
      <xdr:col>11</xdr:col>
      <xdr:colOff>133350</xdr:colOff>
      <xdr:row>5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ês">
              <a:extLst>
                <a:ext uri="{FF2B5EF4-FFF2-40B4-BE49-F238E27FC236}">
                  <a16:creationId xmlns:a16="http://schemas.microsoft.com/office/drawing/2014/main" id="{F7B4F4DA-7678-A297-2097-CB4A26D890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86375" y="57150"/>
              <a:ext cx="541972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409575</xdr:colOff>
      <xdr:row>0</xdr:row>
      <xdr:rowOff>19050</xdr:rowOff>
    </xdr:from>
    <xdr:to>
      <xdr:col>6</xdr:col>
      <xdr:colOff>304800</xdr:colOff>
      <xdr:row>3</xdr:row>
      <xdr:rowOff>133350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536AE7B4-D07B-1C1F-E71B-CF0FA7F30B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9000" y="19050"/>
              <a:ext cx="1828800" cy="685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95250</xdr:colOff>
      <xdr:row>0</xdr:row>
      <xdr:rowOff>9525</xdr:rowOff>
    </xdr:from>
    <xdr:to>
      <xdr:col>14</xdr:col>
      <xdr:colOff>95250</xdr:colOff>
      <xdr:row>23</xdr:row>
      <xdr:rowOff>47625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iente / Fornecedor">
              <a:extLst>
                <a:ext uri="{FF2B5EF4-FFF2-40B4-BE49-F238E27FC236}">
                  <a16:creationId xmlns:a16="http://schemas.microsoft.com/office/drawing/2014/main" id="{D579764C-ED53-5617-109C-7F4CD58C08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 / Fornec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8000" y="9525"/>
              <a:ext cx="1828800" cy="441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070AAF09-4616-4CA5-A99B-97D15A26EED1}" sourceName="Mês">
  <extLst>
    <x:ext xmlns:x15="http://schemas.microsoft.com/office/spreadsheetml/2010/11/main" uri="{2F2917AC-EB37-4324-AD4E-5DD8C200BD13}">
      <x15:tableSlicerCache tableId="4" column="6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35D47167-9121-4599-85FB-0714398E2EC7}" sourceName="Ano">
  <extLst>
    <x:ext xmlns:x15="http://schemas.microsoft.com/office/spreadsheetml/2010/11/main" uri="{2F2917AC-EB37-4324-AD4E-5DD8C200BD13}">
      <x15:tableSlicerCache tableId="4" column="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___Fornecedor" xr10:uid="{02A8A077-8153-44FC-80AF-109E31677A55}" sourceName="Cliente / Fornecedor">
  <extLst>
    <x:ext xmlns:x15="http://schemas.microsoft.com/office/spreadsheetml/2010/11/main" uri="{2F2917AC-EB37-4324-AD4E-5DD8C200BD13}">
      <x15:tableSlicerCache tableId="4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36FBA9C1-57EE-4DA2-817E-A970EE449771}" cache="SegmentaçãodeDados_Mês" caption="Mês" columnCount="6" style="SlicerStyleOther1 2" rowHeight="241300"/>
  <slicer name="Ano" xr10:uid="{BB8E7135-0879-47D7-A74B-240001EE57CD}" cache="SegmentaçãodeDados_Ano" caption="Ano" columnCount="3" style="SlicerStyleOther1 2" rowHeight="241300"/>
  <slicer name="Cliente / Fornecedor" xr10:uid="{89B2DB1A-7A1A-44CF-B86E-48B95AF0776D}" cache="SegmentaçãodeDados_Cliente___Fornecedor" caption="Cliente / Fornecedor" style="SlicerStyleOther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B7A2C2-B3FF-4142-A681-97D235EF2D64}" name="Tabela4" displayName="Tabela4" ref="E7:K8" totalsRowShown="0">
  <autoFilter ref="E7:K8" xr:uid="{6AB7A2C2-B3FF-4142-A681-97D235EF2D64}"/>
  <tableColumns count="7">
    <tableColumn id="1" xr3:uid="{C37DCA1B-012D-497D-B1C0-0E9CF3F68EB7}" name="Data" dataDxfId="12"/>
    <tableColumn id="2" xr3:uid="{7C0350AF-76F8-4D39-B270-6DD7BA2AA98A}" name="Valor" dataDxfId="11" dataCellStyle="Moeda"/>
    <tableColumn id="3" xr3:uid="{D21B6225-F7DC-4AD2-BAE2-1A7FCDA320CD}" name="Entrada/Saída" dataDxfId="10"/>
    <tableColumn id="4" xr3:uid="{92E217DA-5F8C-4FB6-8A18-4341FDCD2953}" name="Cliente / Fornecedor" dataDxfId="9"/>
    <tableColumn id="5" xr3:uid="{997F0E97-1157-43D0-BEC0-51A78C99FFC8}" name="Descrição" dataDxfId="8"/>
    <tableColumn id="6" xr3:uid="{6F3516E0-FE2A-4E50-9894-7634F18171EB}" name="Mês">
      <calculatedColumnFormula>IF(Tabela4[[#This Row],[Data]]="","",VLOOKUP(MONTH(Tabela4[[#This Row],[Data]]),'Cliente e Fornecedor'!N:O,2,0))</calculatedColumnFormula>
    </tableColumn>
    <tableColumn id="7" xr3:uid="{A313B2E1-FE12-4C21-9842-60F1AB3AC1BD}" name="Ano" dataDxfId="7">
      <calculatedColumnFormula>YEAR(Tabela4[[#This Row],[Data]])</calculatedColumnFormula>
    </tableColumn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307C1E-A197-4A6A-BF7B-E5BEF4E145A6}" name="Tabela1" displayName="Tabela1" ref="B2:F10" totalsRowShown="0" headerRowDxfId="6" dataDxfId="5">
  <autoFilter ref="B2:F10" xr:uid="{5C307C1E-A197-4A6A-BF7B-E5BEF4E145A6}"/>
  <tableColumns count="5">
    <tableColumn id="1" xr3:uid="{BB3FA519-88BA-4FCB-B179-E47EF727076E}" name="Nome" dataDxfId="4"/>
    <tableColumn id="2" xr3:uid="{FF399DE5-99F1-4EAF-8F58-C014672E7128}" name="Valor " dataDxfId="3"/>
    <tableColumn id="3" xr3:uid="{672BC6EE-DB6D-412D-83B0-30B771404966}" name="Valor Extra" dataDxfId="2"/>
    <tableColumn id="4" xr3:uid="{FBCBC9E7-4E5C-4EDC-BDD5-5570AB94FA00}" name="Descrição" dataDxfId="1"/>
    <tableColumn id="5" xr3:uid="{2373855C-11B3-4FEC-8A8D-9B17C7C4B51D}" name="Valor Total" dataDxfId="0" dataCellStyle="Moeda">
      <calculatedColumnFormula>C3+D3</calculatedColumnFormula>
    </tableColumn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F72371-548F-4061-97C3-3E1C4CC18454}" name="Tabela3" displayName="Tabela3" ref="B2:C3" totalsRowShown="0">
  <autoFilter ref="B2:C3" xr:uid="{F0F72371-548F-4061-97C3-3E1C4CC18454}"/>
  <tableColumns count="2">
    <tableColumn id="1" xr3:uid="{32EB2F31-902C-4348-B876-5A27E3C07387}" name="Nome"/>
    <tableColumn id="2" xr3:uid="{A0C024F2-7418-4F9C-9471-51BF7815D161}" name="Descrição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E186E-75B8-4F7D-AAC1-CB6D7DDF01D1}">
  <sheetPr codeName="Planilha2"/>
  <dimension ref="A3:K9"/>
  <sheetViews>
    <sheetView showGridLines="0" tabSelected="1" workbookViewId="0">
      <selection activeCell="I8" sqref="I8"/>
    </sheetView>
  </sheetViews>
  <sheetFormatPr defaultRowHeight="15" x14ac:dyDescent="0.25"/>
  <cols>
    <col min="1" max="1" width="17.42578125" bestFit="1" customWidth="1"/>
    <col min="2" max="2" width="14.28515625" customWidth="1"/>
    <col min="3" max="3" width="13.5703125" customWidth="1"/>
    <col min="4" max="4" width="8.85546875" customWidth="1"/>
    <col min="5" max="5" width="10.7109375" style="3" bestFit="1" customWidth="1"/>
    <col min="6" max="6" width="9.42578125" style="8" bestFit="1" customWidth="1"/>
    <col min="7" max="7" width="15.28515625" style="3" customWidth="1"/>
    <col min="8" max="9" width="21.42578125" style="3" customWidth="1"/>
    <col min="10" max="10" width="17" customWidth="1"/>
  </cols>
  <sheetData>
    <row r="3" spans="1:11" x14ac:dyDescent="0.25">
      <c r="E3"/>
      <c r="F3" s="1"/>
      <c r="G3"/>
      <c r="H3"/>
      <c r="I3"/>
    </row>
    <row r="4" spans="1:11" x14ac:dyDescent="0.25">
      <c r="A4" s="4" t="s">
        <v>1</v>
      </c>
      <c r="B4" s="12">
        <v>44782</v>
      </c>
      <c r="E4"/>
      <c r="H4"/>
      <c r="I4"/>
    </row>
    <row r="5" spans="1:11" x14ac:dyDescent="0.25">
      <c r="A5" s="4" t="s">
        <v>17</v>
      </c>
      <c r="B5" s="13">
        <v>200</v>
      </c>
      <c r="C5" s="10" t="s">
        <v>31</v>
      </c>
      <c r="E5"/>
      <c r="H5"/>
      <c r="I5"/>
    </row>
    <row r="6" spans="1:11" x14ac:dyDescent="0.25">
      <c r="A6" s="4" t="s">
        <v>49</v>
      </c>
      <c r="B6" s="16">
        <v>0.51</v>
      </c>
      <c r="C6" s="15">
        <f>B6*F6</f>
        <v>2.5499999999999998</v>
      </c>
      <c r="E6"/>
      <c r="F6" s="1">
        <f>SUBTOTAL(9,Tabela4[Valor])</f>
        <v>5</v>
      </c>
      <c r="G6"/>
      <c r="H6"/>
      <c r="I6"/>
    </row>
    <row r="7" spans="1:11" x14ac:dyDescent="0.25">
      <c r="A7" s="4" t="s">
        <v>50</v>
      </c>
      <c r="B7" s="16">
        <v>0.15</v>
      </c>
      <c r="C7" s="15">
        <f>F6*B7</f>
        <v>0.75</v>
      </c>
      <c r="E7" t="s">
        <v>1</v>
      </c>
      <c r="F7" s="1" t="s">
        <v>6</v>
      </c>
      <c r="G7" t="s">
        <v>3</v>
      </c>
      <c r="H7" t="s">
        <v>5</v>
      </c>
      <c r="I7" t="s">
        <v>2</v>
      </c>
      <c r="J7" s="14" t="s">
        <v>12</v>
      </c>
      <c r="K7" s="14" t="s">
        <v>30</v>
      </c>
    </row>
    <row r="8" spans="1:11" x14ac:dyDescent="0.25">
      <c r="A8" s="4" t="s">
        <v>4</v>
      </c>
      <c r="B8" s="16">
        <v>0.34</v>
      </c>
      <c r="C8" s="15">
        <f>F6*B8</f>
        <v>1.7000000000000002</v>
      </c>
      <c r="E8" s="9">
        <v>44782</v>
      </c>
      <c r="F8" s="8">
        <v>5</v>
      </c>
      <c r="H8" s="3" t="s">
        <v>15</v>
      </c>
      <c r="J8" t="str">
        <f>IF(Tabela4[[#This Row],[Data]]="","",VLOOKUP(MONTH(Tabela4[[#This Row],[Data]]),'Cliente e Fornecedor'!N:O,2,0))</f>
        <v>Agosto</v>
      </c>
      <c r="K8" s="3">
        <f>YEAR(Tabela4[[#This Row],[Data]])</f>
        <v>2022</v>
      </c>
    </row>
    <row r="9" spans="1:11" x14ac:dyDescent="0.25">
      <c r="A9" s="17" t="s">
        <v>32</v>
      </c>
      <c r="B9" s="17"/>
      <c r="C9" s="15">
        <f>C8+B5</f>
        <v>201.7</v>
      </c>
    </row>
  </sheetData>
  <mergeCells count="1">
    <mergeCell ref="A9:B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2354AC-C288-4922-8070-F96297CB9C4F}">
          <x14:formula1>
            <xm:f>'Cliente e Fornecedor'!$C$2:$C$300</xm:f>
          </x14:formula1>
          <xm:sqref>H8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6FFBA-EA03-4C79-996C-73CC6327DC51}">
  <sheetPr codeName="Planilha3"/>
  <dimension ref="B2:F10"/>
  <sheetViews>
    <sheetView showGridLines="0" workbookViewId="0">
      <selection activeCell="E13" sqref="E13"/>
    </sheetView>
  </sheetViews>
  <sheetFormatPr defaultRowHeight="15" x14ac:dyDescent="0.25"/>
  <cols>
    <col min="1" max="1" width="9.140625" style="2"/>
    <col min="2" max="2" width="9.140625" style="7"/>
    <col min="3" max="3" width="14.28515625" style="7" customWidth="1"/>
    <col min="4" max="4" width="16" style="7" customWidth="1"/>
    <col min="5" max="5" width="22.7109375" style="7" bestFit="1" customWidth="1"/>
    <col min="6" max="6" width="20.140625" style="5" customWidth="1"/>
    <col min="7" max="16384" width="9.140625" style="2"/>
  </cols>
  <sheetData>
    <row r="2" spans="2:6" x14ac:dyDescent="0.25">
      <c r="B2" s="5" t="s">
        <v>7</v>
      </c>
      <c r="C2" s="5" t="s">
        <v>8</v>
      </c>
      <c r="D2" s="5" t="s">
        <v>9</v>
      </c>
      <c r="E2" s="5" t="s">
        <v>2</v>
      </c>
      <c r="F2" s="5" t="s">
        <v>10</v>
      </c>
    </row>
    <row r="3" spans="2:6" x14ac:dyDescent="0.25">
      <c r="B3" s="7" t="s">
        <v>33</v>
      </c>
      <c r="F3" s="6">
        <f t="shared" ref="F3:F10" si="0">C3+D3</f>
        <v>0</v>
      </c>
    </row>
    <row r="4" spans="2:6" x14ac:dyDescent="0.25">
      <c r="B4" s="7" t="s">
        <v>35</v>
      </c>
      <c r="F4" s="6">
        <f t="shared" si="0"/>
        <v>0</v>
      </c>
    </row>
    <row r="5" spans="2:6" x14ac:dyDescent="0.25">
      <c r="B5" s="7" t="s">
        <v>37</v>
      </c>
      <c r="F5" s="6">
        <f t="shared" si="0"/>
        <v>0</v>
      </c>
    </row>
    <row r="6" spans="2:6" x14ac:dyDescent="0.25">
      <c r="B6" s="7" t="s">
        <v>37</v>
      </c>
      <c r="E6" s="2" t="s">
        <v>39</v>
      </c>
      <c r="F6" s="6">
        <f t="shared" si="0"/>
        <v>0</v>
      </c>
    </row>
    <row r="7" spans="2:6" x14ac:dyDescent="0.25">
      <c r="B7" s="7" t="s">
        <v>40</v>
      </c>
      <c r="E7" s="2"/>
      <c r="F7" s="6">
        <f t="shared" si="0"/>
        <v>0</v>
      </c>
    </row>
    <row r="8" spans="2:6" x14ac:dyDescent="0.25">
      <c r="B8" s="7" t="s">
        <v>37</v>
      </c>
      <c r="E8" s="2" t="s">
        <v>42</v>
      </c>
      <c r="F8" s="6">
        <f t="shared" si="0"/>
        <v>0</v>
      </c>
    </row>
    <row r="9" spans="2:6" x14ac:dyDescent="0.25">
      <c r="B9" s="7" t="s">
        <v>43</v>
      </c>
      <c r="E9" s="11"/>
      <c r="F9" s="6">
        <f t="shared" si="0"/>
        <v>0</v>
      </c>
    </row>
    <row r="10" spans="2:6" x14ac:dyDescent="0.25">
      <c r="B10" s="7" t="s">
        <v>45</v>
      </c>
      <c r="E10" s="11"/>
      <c r="F10" s="6">
        <f t="shared" si="0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CA7F-0051-4B73-B583-CF3F007B74BE}">
  <sheetPr codeName="Planilha4"/>
  <dimension ref="B2:C3"/>
  <sheetViews>
    <sheetView showGridLines="0" workbookViewId="0">
      <selection activeCell="F6" sqref="F6"/>
    </sheetView>
  </sheetViews>
  <sheetFormatPr defaultRowHeight="15" x14ac:dyDescent="0.25"/>
  <cols>
    <col min="2" max="2" width="33" customWidth="1"/>
    <col min="3" max="3" width="35.28515625" bestFit="1" customWidth="1"/>
  </cols>
  <sheetData>
    <row r="2" spans="2:3" x14ac:dyDescent="0.25">
      <c r="B2" t="s">
        <v>7</v>
      </c>
      <c r="C2" t="s">
        <v>2</v>
      </c>
    </row>
    <row r="3" spans="2:3" x14ac:dyDescent="0.25">
      <c r="B3" t="s">
        <v>47</v>
      </c>
      <c r="C3" t="s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9D81-0063-463C-8B85-E1E840EE172E}">
  <sheetPr codeName="Planilha5"/>
  <dimension ref="A1:O13"/>
  <sheetViews>
    <sheetView workbookViewId="0">
      <selection activeCell="D3" sqref="D3"/>
    </sheetView>
  </sheetViews>
  <sheetFormatPr defaultRowHeight="15" x14ac:dyDescent="0.25"/>
  <cols>
    <col min="1" max="1" width="8" bestFit="1" customWidth="1"/>
    <col min="2" max="2" width="17.7109375" bestFit="1" customWidth="1"/>
    <col min="3" max="3" width="23" bestFit="1" customWidth="1"/>
  </cols>
  <sheetData>
    <row r="1" spans="1:15" x14ac:dyDescent="0.25">
      <c r="A1" t="s">
        <v>11</v>
      </c>
      <c r="B1" t="s">
        <v>7</v>
      </c>
      <c r="C1" t="s">
        <v>14</v>
      </c>
    </row>
    <row r="2" spans="1:15" x14ac:dyDescent="0.25">
      <c r="A2" t="s">
        <v>13</v>
      </c>
      <c r="B2" t="s">
        <v>33</v>
      </c>
      <c r="C2" t="s">
        <v>34</v>
      </c>
      <c r="N2">
        <v>1</v>
      </c>
      <c r="O2" t="s">
        <v>18</v>
      </c>
    </row>
    <row r="3" spans="1:15" x14ac:dyDescent="0.25">
      <c r="A3" t="s">
        <v>13</v>
      </c>
      <c r="B3" t="s">
        <v>35</v>
      </c>
      <c r="C3" t="s">
        <v>36</v>
      </c>
      <c r="N3">
        <v>2</v>
      </c>
      <c r="O3" t="s">
        <v>19</v>
      </c>
    </row>
    <row r="4" spans="1:15" x14ac:dyDescent="0.25">
      <c r="A4" t="s">
        <v>13</v>
      </c>
      <c r="B4" t="s">
        <v>37</v>
      </c>
      <c r="C4" t="s">
        <v>38</v>
      </c>
      <c r="N4">
        <v>3</v>
      </c>
      <c r="O4" t="s">
        <v>20</v>
      </c>
    </row>
    <row r="5" spans="1:15" x14ac:dyDescent="0.25">
      <c r="A5" t="s">
        <v>13</v>
      </c>
      <c r="B5" t="s">
        <v>37</v>
      </c>
      <c r="C5" t="s">
        <v>38</v>
      </c>
      <c r="N5">
        <v>4</v>
      </c>
      <c r="O5" t="s">
        <v>21</v>
      </c>
    </row>
    <row r="6" spans="1:15" x14ac:dyDescent="0.25">
      <c r="A6" t="s">
        <v>13</v>
      </c>
      <c r="B6" t="s">
        <v>40</v>
      </c>
      <c r="C6" t="s">
        <v>41</v>
      </c>
      <c r="N6">
        <v>5</v>
      </c>
      <c r="O6" t="s">
        <v>22</v>
      </c>
    </row>
    <row r="7" spans="1:15" x14ac:dyDescent="0.25">
      <c r="A7" t="s">
        <v>13</v>
      </c>
      <c r="B7" t="s">
        <v>37</v>
      </c>
      <c r="C7" t="s">
        <v>38</v>
      </c>
      <c r="N7">
        <v>6</v>
      </c>
      <c r="O7" t="s">
        <v>23</v>
      </c>
    </row>
    <row r="8" spans="1:15" x14ac:dyDescent="0.25">
      <c r="A8" t="s">
        <v>13</v>
      </c>
      <c r="B8" t="s">
        <v>43</v>
      </c>
      <c r="C8" t="s">
        <v>44</v>
      </c>
      <c r="N8">
        <v>7</v>
      </c>
      <c r="O8" t="s">
        <v>24</v>
      </c>
    </row>
    <row r="9" spans="1:15" x14ac:dyDescent="0.25">
      <c r="A9" t="s">
        <v>13</v>
      </c>
      <c r="B9" t="s">
        <v>45</v>
      </c>
      <c r="C9" t="s">
        <v>46</v>
      </c>
      <c r="N9">
        <v>8</v>
      </c>
      <c r="O9" t="s">
        <v>25</v>
      </c>
    </row>
    <row r="10" spans="1:15" x14ac:dyDescent="0.25">
      <c r="A10" t="s">
        <v>16</v>
      </c>
      <c r="B10" t="s">
        <v>47</v>
      </c>
      <c r="C10" t="s">
        <v>48</v>
      </c>
      <c r="N10">
        <v>9</v>
      </c>
      <c r="O10" t="s">
        <v>26</v>
      </c>
    </row>
    <row r="11" spans="1:15" x14ac:dyDescent="0.25">
      <c r="N11">
        <v>10</v>
      </c>
      <c r="O11" t="s">
        <v>27</v>
      </c>
    </row>
    <row r="12" spans="1:15" x14ac:dyDescent="0.25">
      <c r="N12">
        <v>11</v>
      </c>
      <c r="O12" t="s">
        <v>28</v>
      </c>
    </row>
    <row r="13" spans="1:15" x14ac:dyDescent="0.25">
      <c r="N13">
        <v>12</v>
      </c>
      <c r="O13" t="s">
        <v>29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Cadastro Cliente</vt:lpstr>
      <vt:lpstr>Cadastro Fornecedor</vt:lpstr>
      <vt:lpstr>Cliente e Fornecedor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Renato olegário</cp:lastModifiedBy>
  <dcterms:created xsi:type="dcterms:W3CDTF">2022-06-07T12:13:38Z</dcterms:created>
  <dcterms:modified xsi:type="dcterms:W3CDTF">2022-08-13T23:08:37Z</dcterms:modified>
</cp:coreProperties>
</file>